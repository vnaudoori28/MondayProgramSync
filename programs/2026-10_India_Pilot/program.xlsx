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uthentica\Presales\"/>
    </mc:Choice>
  </mc:AlternateContent>
  <xr:revisionPtr revIDLastSave="0" documentId="13_ncr:1_{BE653987-1F5E-43B0-B2D1-4B533E2FA22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Legend" sheetId="2" r:id="rId1"/>
    <sheet name="Sample Data" sheetId="3" r:id="rId2"/>
    <sheet name="Calculations" sheetId="5" r:id="rId3"/>
  </sheets>
  <externalReferences>
    <externalReference r:id="rId4"/>
  </externalReferences>
  <definedNames>
    <definedName name="_xlnm._FilterDatabase" localSheetId="1" hidden="1">'Sample Data'!$A$1:$G$29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5" l="1"/>
  <c r="C12" i="5"/>
  <c r="C11" i="5"/>
  <c r="C26" i="5"/>
  <c r="C25" i="5"/>
  <c r="C24" i="5"/>
  <c r="C23" i="5"/>
  <c r="C19" i="5"/>
  <c r="C18" i="5"/>
  <c r="C17" i="5"/>
  <c r="C7" i="5"/>
  <c r="C6" i="5"/>
  <c r="C5" i="5"/>
  <c r="C4" i="5"/>
  <c r="C6" i="3" l="1"/>
  <c r="C7" i="3" l="1"/>
  <c r="C8" i="3" s="1"/>
  <c r="C9" i="3" s="1"/>
  <c r="C13" i="3" s="1"/>
  <c r="C14" i="3" s="1"/>
  <c r="C15" i="3" s="1"/>
  <c r="C19" i="3" s="1"/>
  <c r="C20" i="3" s="1"/>
  <c r="C21" i="3" s="1"/>
  <c r="C25" i="3" s="1"/>
  <c r="C26" i="3" s="1"/>
  <c r="C27" i="3" s="1"/>
  <c r="C28" i="3" s="1"/>
  <c r="C8" i="2" l="1"/>
</calcChain>
</file>

<file path=xl/sharedStrings.xml><?xml version="1.0" encoding="utf-8"?>
<sst xmlns="http://schemas.openxmlformats.org/spreadsheetml/2006/main" count="265" uniqueCount="70">
  <si>
    <t/>
  </si>
  <si>
    <t>Name</t>
  </si>
  <si>
    <t>Notes</t>
  </si>
  <si>
    <t>Process #</t>
  </si>
  <si>
    <t>Timeline - Start</t>
  </si>
  <si>
    <t>Timeline - End</t>
  </si>
  <si>
    <t>could vary</t>
  </si>
  <si>
    <t>Hotels</t>
  </si>
  <si>
    <t>Release block for other hotels across locations</t>
  </si>
  <si>
    <t>Send advance to chosen hotels: CCA / bank transfer / outward remittance</t>
  </si>
  <si>
    <t>Confirm preferred flight/train option with client</t>
  </si>
  <si>
    <t>Collect participant information / passport scans</t>
  </si>
  <si>
    <t>Guides</t>
  </si>
  <si>
    <t>Send final itinerary / checklist and PAX info to guides</t>
  </si>
  <si>
    <t>Send advance for entrance fees etc.</t>
  </si>
  <si>
    <t xml:space="preserve">R </t>
  </si>
  <si>
    <t>stands for date of receiving RFP</t>
  </si>
  <si>
    <t xml:space="preserve">R+ </t>
  </si>
  <si>
    <t>stands for no. of days after receiving RFP</t>
  </si>
  <si>
    <t xml:space="preserve">S </t>
  </si>
  <si>
    <t>stands for proposal submission date</t>
  </si>
  <si>
    <t xml:space="preserve">S-/+ </t>
  </si>
  <si>
    <t>stands for no. of days before/after proposal submission date</t>
  </si>
  <si>
    <t xml:space="preserve">C </t>
  </si>
  <si>
    <t xml:space="preserve">C+ </t>
  </si>
  <si>
    <t>stands for no. of days after confirmation/go-ahead received from client</t>
  </si>
  <si>
    <t xml:space="preserve">P </t>
  </si>
  <si>
    <t>stands for program dates</t>
  </si>
  <si>
    <t xml:space="preserve">P- </t>
  </si>
  <si>
    <t>stands for no. of days before program start</t>
  </si>
  <si>
    <t xml:space="preserve">P+ </t>
  </si>
  <si>
    <t>stands for no. of days after the program ends</t>
  </si>
  <si>
    <t>Symbol</t>
  </si>
  <si>
    <t>Meaning</t>
  </si>
  <si>
    <t>Operations Process (Proposal to Delivery)</t>
  </si>
  <si>
    <t>Timeframe (Date)</t>
  </si>
  <si>
    <t>Date</t>
  </si>
  <si>
    <t>stands for date of confirmation (for repeat clients, this can be when they tell us group size)</t>
  </si>
  <si>
    <t>Input actual deadline of submitting proposal or Actual date of submitting proposal</t>
  </si>
  <si>
    <t>Input actual date of receiving RFP</t>
  </si>
  <si>
    <t>Input actual date of program confirmation</t>
  </si>
  <si>
    <t>Input actual program start date</t>
  </si>
  <si>
    <t>PE</t>
  </si>
  <si>
    <t>stands for program end date</t>
  </si>
  <si>
    <t>Input actual program end date</t>
  </si>
  <si>
    <t>Siddhanth Waghmare</t>
  </si>
  <si>
    <t>C+30</t>
  </si>
  <si>
    <t>C+1</t>
  </si>
  <si>
    <t>C+7</t>
  </si>
  <si>
    <t>P-30</t>
  </si>
  <si>
    <t>P-15</t>
  </si>
  <si>
    <t>P-7</t>
  </si>
  <si>
    <t>C+15</t>
  </si>
  <si>
    <t>Milestone</t>
  </si>
  <si>
    <t>Working on RFP</t>
  </si>
  <si>
    <t>Delivery</t>
  </si>
  <si>
    <t>Planning</t>
  </si>
  <si>
    <t>Block and sign contracts with chosen hotels and procure invoices with payment details</t>
  </si>
  <si>
    <t>As per updated numbers received from the university</t>
  </si>
  <si>
    <t>Collect rooming list from client and send it to hotels</t>
  </si>
  <si>
    <t>Book tickets (either with vendor or directly online) and share tickets with university</t>
  </si>
  <si>
    <t>Book dates of preferred guides (Directly or with DMC)</t>
  </si>
  <si>
    <t>Send draft itinerary to guides/DMC along with the academic objective briefing</t>
  </si>
  <si>
    <t>Owner</t>
  </si>
  <si>
    <t>Due Date</t>
  </si>
  <si>
    <t>Flights</t>
  </si>
  <si>
    <t>Trains</t>
  </si>
  <si>
    <t>2026-10 India Pilot Program Test</t>
  </si>
  <si>
    <t>Program Name</t>
  </si>
  <si>
    <t>Due Date (Rule)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</si>
</sst>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14009]dddd\,\ d\ mmmm\,\ yyyy;@"/>
    <numFmt numFmtId="166" formatCode="ddd\ dd\ mmm\ yyyy"/>
  </numFmts>
  <fonts count="10">
    <font>
      <sz val="11"/>
      <name val="Arial"/>
      <family val="1"/>
    </font>
    <font>
      <b/>
      <sz val="15"/>
      <name val="Muli"/>
    </font>
    <font>
      <sz val="11"/>
      <name val="Muli"/>
    </font>
    <font>
      <b/>
      <sz val="11"/>
      <color rgb="FF000000"/>
      <name val="Muli"/>
    </font>
    <font>
      <sz val="11"/>
      <color rgb="FFFFFFFF"/>
      <name val="Muli"/>
    </font>
    <font>
      <b/>
      <sz val="14"/>
      <color rgb="FF579BFC"/>
      <name val="Muli"/>
    </font>
    <font>
      <b/>
      <sz val="14"/>
      <color rgb="FFA25DDC"/>
      <name val="Muli"/>
    </font>
    <font>
      <b/>
      <sz val="14"/>
      <color rgb="FF00C875"/>
      <name val="Muli"/>
    </font>
    <font>
      <sz val="10"/>
      <name val="Muli"/>
    </font>
    <font>
      <b/>
      <sz val="10"/>
      <name val="Muli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A25DDC"/>
      </patternFill>
    </fill>
    <fill>
      <patternFill patternType="solid">
        <fgColor rgb="FFBB3354"/>
      </patternFill>
    </fill>
    <fill>
      <patternFill patternType="solid">
        <fgColor rgb="FF0086C0"/>
      </patternFill>
    </fill>
    <fill>
      <patternFill patternType="solid">
        <fgColor rgb="FF66CCFF"/>
      </patternFill>
    </fill>
    <fill>
      <patternFill patternType="solid">
        <fgColor rgb="FFFF5AC4"/>
      </patternFill>
    </fill>
    <fill>
      <patternFill patternType="solid">
        <fgColor rgb="FFFF642E"/>
      </patternFill>
    </fill>
    <fill>
      <patternFill patternType="solid">
        <fgColor theme="1" tint="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8" fillId="11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166" fontId="3" fillId="2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66" fontId="4" fillId="9" borderId="1" xfId="0" applyNumberFormat="1" applyFont="1" applyFill="1" applyBorder="1" applyAlignment="1">
      <alignment horizontal="center" vertical="center"/>
    </xf>
    <xf numFmtId="166" fontId="4" fillId="10" borderId="1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165" fontId="8" fillId="11" borderId="6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5" fontId="8" fillId="11" borderId="8" xfId="0" applyNumberFormat="1" applyFont="1" applyFill="1" applyBorder="1" applyAlignment="1">
      <alignment horizontal="center" vertical="center"/>
    </xf>
    <xf numFmtId="165" fontId="8" fillId="11" borderId="9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uthentica\Presales\2026-10%20India%20Pilot%20Program%20Test%20-%20Copy.xlsx" TargetMode="External"/><Relationship Id="rId1" Type="http://schemas.openxmlformats.org/officeDocument/2006/relationships/externalLinkPath" Target="2026-10%20India%20Pilot%20Program%20Test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gend"/>
      <sheetName val="Faculty Led Programs"/>
      <sheetName val="Sheet1"/>
    </sheetNames>
    <sheetDataSet>
      <sheetData sheetId="0">
        <row r="10">
          <cell r="C10">
            <v>45901</v>
          </cell>
        </row>
        <row r="12">
          <cell r="C12">
            <v>45992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17C4-5FA3-4049-8F81-2C06CF02854E}">
  <dimension ref="A1:E15"/>
  <sheetViews>
    <sheetView showGridLines="0" tabSelected="1" zoomScale="115" zoomScaleNormal="115" workbookViewId="0">
      <selection activeCell="B21" sqref="B21"/>
    </sheetView>
  </sheetViews>
  <sheetFormatPr defaultColWidth="8.75" defaultRowHeight="12.75"/>
  <cols>
    <col min="1" max="1" width="21" style="5" customWidth="1"/>
    <col min="2" max="2" width="71.25" style="5" bestFit="1" customWidth="1"/>
    <col min="3" max="3" width="24.875" style="5" customWidth="1"/>
    <col min="4" max="5" width="34" style="5" bestFit="1" customWidth="1"/>
    <col min="6" max="16384" width="8.75" style="5"/>
  </cols>
  <sheetData>
    <row r="1" spans="1:5">
      <c r="A1" s="5" t="s">
        <v>68</v>
      </c>
      <c r="B1" s="5" t="s">
        <v>67</v>
      </c>
    </row>
    <row r="2" spans="1:5">
      <c r="A2" s="45" t="s">
        <v>63</v>
      </c>
      <c r="B2" s="46" t="s">
        <v>45</v>
      </c>
    </row>
    <row r="3" spans="1:5" ht="13.5" thickBot="1"/>
    <row r="4" spans="1:5">
      <c r="A4" s="34" t="s">
        <v>32</v>
      </c>
      <c r="B4" s="35" t="s">
        <v>33</v>
      </c>
      <c r="C4" s="35" t="s">
        <v>36</v>
      </c>
      <c r="D4" s="36" t="s">
        <v>2</v>
      </c>
      <c r="E4" s="36" t="s">
        <v>53</v>
      </c>
    </row>
    <row r="5" spans="1:5">
      <c r="A5" s="47"/>
      <c r="B5" s="46" t="s">
        <v>45</v>
      </c>
      <c r="C5" s="48"/>
      <c r="D5" s="49"/>
      <c r="E5" s="49"/>
    </row>
    <row r="6" spans="1:5">
      <c r="A6" s="37" t="s">
        <v>15</v>
      </c>
      <c r="B6" s="6" t="s">
        <v>16</v>
      </c>
      <c r="C6" s="21">
        <v>45870</v>
      </c>
      <c r="D6" s="38" t="s">
        <v>39</v>
      </c>
      <c r="E6" s="38" t="s">
        <v>54</v>
      </c>
    </row>
    <row r="7" spans="1:5">
      <c r="A7" s="37" t="s">
        <v>17</v>
      </c>
      <c r="B7" s="6" t="s">
        <v>18</v>
      </c>
      <c r="C7" s="22"/>
      <c r="D7" s="39"/>
      <c r="E7" s="39"/>
    </row>
    <row r="8" spans="1:5" ht="25.5">
      <c r="A8" s="37" t="s">
        <v>19</v>
      </c>
      <c r="B8" s="6" t="s">
        <v>20</v>
      </c>
      <c r="C8" s="21">
        <f>$C$6+14</f>
        <v>45884</v>
      </c>
      <c r="D8" s="40" t="s">
        <v>38</v>
      </c>
      <c r="E8" s="40" t="s">
        <v>54</v>
      </c>
    </row>
    <row r="9" spans="1:5">
      <c r="A9" s="37" t="s">
        <v>21</v>
      </c>
      <c r="B9" s="6" t="s">
        <v>22</v>
      </c>
      <c r="C9" s="22"/>
      <c r="D9" s="39"/>
      <c r="E9" s="39"/>
    </row>
    <row r="10" spans="1:5">
      <c r="A10" s="37" t="s">
        <v>23</v>
      </c>
      <c r="B10" s="6" t="s">
        <v>37</v>
      </c>
      <c r="C10" s="21">
        <v>45901</v>
      </c>
      <c r="D10" s="38" t="s">
        <v>40</v>
      </c>
      <c r="E10" s="38" t="s">
        <v>56</v>
      </c>
    </row>
    <row r="11" spans="1:5">
      <c r="A11" s="37" t="s">
        <v>24</v>
      </c>
      <c r="B11" s="6" t="s">
        <v>25</v>
      </c>
      <c r="C11" s="22"/>
      <c r="D11" s="39"/>
      <c r="E11" s="39"/>
    </row>
    <row r="12" spans="1:5">
      <c r="A12" s="37" t="s">
        <v>26</v>
      </c>
      <c r="B12" s="6" t="s">
        <v>27</v>
      </c>
      <c r="C12" s="21">
        <v>45992</v>
      </c>
      <c r="D12" s="38" t="s">
        <v>41</v>
      </c>
      <c r="E12" s="38" t="s">
        <v>55</v>
      </c>
    </row>
    <row r="13" spans="1:5">
      <c r="A13" s="37" t="s">
        <v>42</v>
      </c>
      <c r="B13" s="6" t="s">
        <v>43</v>
      </c>
      <c r="C13" s="21">
        <v>46003</v>
      </c>
      <c r="D13" s="38" t="s">
        <v>44</v>
      </c>
      <c r="E13" s="38" t="s">
        <v>55</v>
      </c>
    </row>
    <row r="14" spans="1:5">
      <c r="A14" s="37" t="s">
        <v>28</v>
      </c>
      <c r="B14" s="6" t="s">
        <v>29</v>
      </c>
      <c r="C14" s="22"/>
      <c r="D14" s="39"/>
      <c r="E14" s="39"/>
    </row>
    <row r="15" spans="1:5" ht="13.5" thickBot="1">
      <c r="A15" s="41" t="s">
        <v>30</v>
      </c>
      <c r="B15" s="42" t="s">
        <v>31</v>
      </c>
      <c r="C15" s="43"/>
      <c r="D15" s="44"/>
      <c r="E15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B6AB-E0A4-4013-A3CB-1C8214A3B081}">
  <dimension ref="A1:G29"/>
  <sheetViews>
    <sheetView showGridLines="0" showOutlineSymbols="0" showWhiteSpace="0" zoomScale="85" zoomScaleNormal="85" workbookViewId="0">
      <selection activeCell="A2" sqref="A2"/>
    </sheetView>
  </sheetViews>
  <sheetFormatPr defaultColWidth="8.75" defaultRowHeight="14.25"/>
  <cols>
    <col min="1" max="1" width="110.75" style="7" bestFit="1" customWidth="1"/>
    <col min="2" max="2" width="17.375" style="25" bestFit="1" customWidth="1"/>
    <col min="3" max="3" width="17.375" style="25" customWidth="1"/>
    <col min="4" max="4" width="58.25" style="23" bestFit="1" customWidth="1"/>
    <col min="5" max="5" width="13.25" style="7" bestFit="1" customWidth="1"/>
    <col min="6" max="6" width="18.125" style="7" bestFit="1" customWidth="1"/>
    <col min="7" max="7" width="21.375" style="7" bestFit="1" customWidth="1"/>
    <col min="8" max="16384" width="8.75" style="7"/>
  </cols>
  <sheetData>
    <row r="1" spans="1:7" ht="40.15" customHeight="1">
      <c r="A1" s="1" t="s">
        <v>34</v>
      </c>
    </row>
    <row r="2" spans="1:7" ht="19.899999999999999" customHeight="1">
      <c r="A2" s="7" t="s">
        <v>0</v>
      </c>
      <c r="B2" s="25" t="s">
        <v>0</v>
      </c>
      <c r="D2" s="23" t="s">
        <v>0</v>
      </c>
      <c r="E2" s="7" t="s">
        <v>0</v>
      </c>
      <c r="F2" s="7" t="s">
        <v>0</v>
      </c>
    </row>
    <row r="3" spans="1:7" ht="19.899999999999999" customHeight="1">
      <c r="F3" s="24"/>
      <c r="G3" s="24"/>
    </row>
    <row r="4" spans="1:7" ht="19.899999999999999" customHeight="1">
      <c r="A4" s="2" t="s">
        <v>7</v>
      </c>
    </row>
    <row r="5" spans="1:7" ht="19.899999999999999" customHeight="1">
      <c r="A5" s="8" t="s">
        <v>1</v>
      </c>
      <c r="B5" s="26" t="s">
        <v>64</v>
      </c>
      <c r="C5" s="26" t="s">
        <v>63</v>
      </c>
      <c r="D5" s="9" t="s">
        <v>2</v>
      </c>
      <c r="E5" s="9" t="s">
        <v>3</v>
      </c>
      <c r="F5" s="9" t="s">
        <v>4</v>
      </c>
      <c r="G5" s="9" t="s">
        <v>5</v>
      </c>
    </row>
    <row r="6" spans="1:7" ht="19.899999999999999" customHeight="1">
      <c r="A6" s="10" t="s">
        <v>57</v>
      </c>
      <c r="B6" s="27">
        <v>45902</v>
      </c>
      <c r="C6" s="27" t="str">
        <f>Legend!B2</f>
        <v>Siddhanth Waghmare</v>
      </c>
      <c r="D6" s="11" t="s">
        <v>58</v>
      </c>
      <c r="E6" s="11" t="s">
        <v>0</v>
      </c>
      <c r="F6" s="12" t="s">
        <v>0</v>
      </c>
      <c r="G6" s="12" t="s">
        <v>0</v>
      </c>
    </row>
    <row r="7" spans="1:7" ht="19.899999999999999" customHeight="1">
      <c r="A7" s="10" t="s">
        <v>8</v>
      </c>
      <c r="B7" s="27">
        <v>45902</v>
      </c>
      <c r="C7" s="27" t="str">
        <f>C6</f>
        <v>Siddhanth Waghmare</v>
      </c>
      <c r="D7" s="11" t="s">
        <v>0</v>
      </c>
      <c r="E7" s="11" t="s">
        <v>0</v>
      </c>
      <c r="F7" s="12" t="s">
        <v>0</v>
      </c>
      <c r="G7" s="12" t="s">
        <v>0</v>
      </c>
    </row>
    <row r="8" spans="1:7" ht="19.899999999999999" customHeight="1">
      <c r="A8" s="10" t="s">
        <v>9</v>
      </c>
      <c r="B8" s="32">
        <v>45931</v>
      </c>
      <c r="C8" s="32" t="str">
        <f>C7</f>
        <v>Siddhanth Waghmare</v>
      </c>
      <c r="D8" s="11" t="s">
        <v>6</v>
      </c>
      <c r="E8" s="11" t="s">
        <v>0</v>
      </c>
      <c r="F8" s="12" t="s">
        <v>0</v>
      </c>
      <c r="G8" s="12" t="s">
        <v>0</v>
      </c>
    </row>
    <row r="9" spans="1:7" ht="19.899999999999999" customHeight="1">
      <c r="A9" s="10" t="s">
        <v>59</v>
      </c>
      <c r="B9" s="30">
        <v>45977</v>
      </c>
      <c r="C9" s="30" t="str">
        <f>C8</f>
        <v>Siddhanth Waghmare</v>
      </c>
      <c r="D9" s="11" t="s">
        <v>0</v>
      </c>
      <c r="E9" s="11" t="s">
        <v>0</v>
      </c>
      <c r="F9" s="12" t="s">
        <v>0</v>
      </c>
      <c r="G9" s="12" t="s">
        <v>0</v>
      </c>
    </row>
    <row r="10" spans="1:7" ht="40.15" customHeight="1"/>
    <row r="11" spans="1:7" ht="19.899999999999999" customHeight="1">
      <c r="A11" s="3" t="s">
        <v>65</v>
      </c>
    </row>
    <row r="12" spans="1:7" ht="19.899999999999999" customHeight="1">
      <c r="A12" s="8" t="s">
        <v>1</v>
      </c>
      <c r="B12" s="26" t="s">
        <v>64</v>
      </c>
      <c r="C12" s="26" t="s">
        <v>63</v>
      </c>
      <c r="D12" s="9" t="s">
        <v>2</v>
      </c>
      <c r="E12" s="9" t="s">
        <v>3</v>
      </c>
      <c r="F12" s="9" t="s">
        <v>4</v>
      </c>
      <c r="G12" s="9" t="s">
        <v>5</v>
      </c>
    </row>
    <row r="13" spans="1:7" ht="19.899999999999999" customHeight="1">
      <c r="A13" s="10" t="s">
        <v>10</v>
      </c>
      <c r="B13" s="27">
        <v>45902</v>
      </c>
      <c r="C13" s="27" t="str">
        <f>C9</f>
        <v>Siddhanth Waghmare</v>
      </c>
      <c r="D13" s="11" t="s">
        <v>6</v>
      </c>
      <c r="E13" s="11" t="s">
        <v>0</v>
      </c>
      <c r="F13" s="12" t="s">
        <v>0</v>
      </c>
      <c r="G13" s="12" t="s">
        <v>0</v>
      </c>
    </row>
    <row r="14" spans="1:7" ht="19.899999999999999" customHeight="1">
      <c r="A14" s="10" t="s">
        <v>11</v>
      </c>
      <c r="B14" s="28">
        <v>45908</v>
      </c>
      <c r="C14" s="28" t="str">
        <f>C13</f>
        <v>Siddhanth Waghmare</v>
      </c>
      <c r="D14" s="11" t="s">
        <v>6</v>
      </c>
      <c r="E14" s="11" t="s">
        <v>0</v>
      </c>
      <c r="F14" s="12" t="s">
        <v>0</v>
      </c>
      <c r="G14" s="12" t="s">
        <v>0</v>
      </c>
    </row>
    <row r="15" spans="1:7" ht="19.899999999999999" customHeight="1">
      <c r="A15" s="10" t="s">
        <v>60</v>
      </c>
      <c r="B15" s="33">
        <v>45916</v>
      </c>
      <c r="C15" s="33" t="str">
        <f>C14</f>
        <v>Siddhanth Waghmare</v>
      </c>
      <c r="D15" s="11" t="s">
        <v>6</v>
      </c>
      <c r="E15" s="11" t="s">
        <v>0</v>
      </c>
      <c r="F15" s="12" t="s">
        <v>0</v>
      </c>
      <c r="G15" s="12" t="s">
        <v>0</v>
      </c>
    </row>
    <row r="16" spans="1:7" ht="40.15" customHeight="1"/>
    <row r="17" spans="1:7" ht="19.899999999999999" customHeight="1">
      <c r="A17" s="3" t="s">
        <v>66</v>
      </c>
    </row>
    <row r="18" spans="1:7" ht="19.899999999999999" customHeight="1">
      <c r="A18" s="8" t="s">
        <v>1</v>
      </c>
      <c r="B18" s="26" t="s">
        <v>64</v>
      </c>
      <c r="C18" s="26" t="s">
        <v>63</v>
      </c>
      <c r="D18" s="9" t="s">
        <v>2</v>
      </c>
      <c r="E18" s="9" t="s">
        <v>3</v>
      </c>
      <c r="F18" s="9" t="s">
        <v>4</v>
      </c>
      <c r="G18" s="9" t="s">
        <v>5</v>
      </c>
    </row>
    <row r="19" spans="1:7" ht="19.899999999999999" customHeight="1">
      <c r="A19" s="10" t="s">
        <v>10</v>
      </c>
      <c r="B19" s="27">
        <v>45902</v>
      </c>
      <c r="C19" s="27" t="str">
        <f>C15</f>
        <v>Siddhanth Waghmare</v>
      </c>
      <c r="D19" s="11" t="s">
        <v>6</v>
      </c>
      <c r="E19" s="11" t="s">
        <v>0</v>
      </c>
      <c r="F19" s="12" t="s">
        <v>0</v>
      </c>
      <c r="G19" s="12" t="s">
        <v>0</v>
      </c>
    </row>
    <row r="20" spans="1:7" ht="19.899999999999999" customHeight="1">
      <c r="A20" s="10" t="s">
        <v>11</v>
      </c>
      <c r="B20" s="28">
        <v>45908</v>
      </c>
      <c r="C20" s="28" t="str">
        <f>C19</f>
        <v>Siddhanth Waghmare</v>
      </c>
      <c r="D20" s="11" t="s">
        <v>6</v>
      </c>
      <c r="E20" s="11" t="s">
        <v>0</v>
      </c>
      <c r="F20" s="12" t="s">
        <v>0</v>
      </c>
      <c r="G20" s="12" t="s">
        <v>0</v>
      </c>
    </row>
    <row r="21" spans="1:7" ht="19.899999999999999" customHeight="1">
      <c r="A21" s="10" t="s">
        <v>60</v>
      </c>
      <c r="B21" s="33">
        <v>45916</v>
      </c>
      <c r="C21" s="33" t="str">
        <f>C20</f>
        <v>Siddhanth Waghmare</v>
      </c>
      <c r="D21" s="11" t="s">
        <v>6</v>
      </c>
      <c r="E21" s="11" t="s">
        <v>0</v>
      </c>
      <c r="F21" s="12" t="s">
        <v>0</v>
      </c>
      <c r="G21" s="12" t="s">
        <v>0</v>
      </c>
    </row>
    <row r="22" spans="1:7" ht="40.15" customHeight="1"/>
    <row r="23" spans="1:7" ht="19.899999999999999" customHeight="1">
      <c r="A23" s="4" t="s">
        <v>12</v>
      </c>
    </row>
    <row r="24" spans="1:7" ht="19.899999999999999" customHeight="1">
      <c r="A24" s="8" t="s">
        <v>1</v>
      </c>
      <c r="B24" s="26" t="s">
        <v>64</v>
      </c>
      <c r="C24" s="26" t="s">
        <v>63</v>
      </c>
      <c r="D24" s="9" t="s">
        <v>2</v>
      </c>
      <c r="E24" s="9" t="s">
        <v>3</v>
      </c>
      <c r="F24" s="9" t="s">
        <v>4</v>
      </c>
      <c r="G24" s="9" t="s">
        <v>5</v>
      </c>
    </row>
    <row r="25" spans="1:7" ht="19.899999999999999" customHeight="1">
      <c r="A25" s="10" t="s">
        <v>61</v>
      </c>
      <c r="B25" s="27">
        <v>45902</v>
      </c>
      <c r="C25" s="27" t="str">
        <f>C21</f>
        <v>Siddhanth Waghmare</v>
      </c>
      <c r="D25" s="11" t="s">
        <v>0</v>
      </c>
      <c r="E25" s="11" t="s">
        <v>0</v>
      </c>
      <c r="F25" s="12" t="s">
        <v>0</v>
      </c>
      <c r="G25" s="12" t="s">
        <v>0</v>
      </c>
    </row>
    <row r="26" spans="1:7" ht="19.899999999999999" customHeight="1">
      <c r="A26" s="10" t="s">
        <v>62</v>
      </c>
      <c r="B26" s="29">
        <v>45962</v>
      </c>
      <c r="C26" s="29" t="str">
        <f>C25</f>
        <v>Siddhanth Waghmare</v>
      </c>
      <c r="D26" s="11" t="s">
        <v>0</v>
      </c>
      <c r="E26" s="11" t="s">
        <v>0</v>
      </c>
      <c r="F26" s="12" t="s">
        <v>0</v>
      </c>
      <c r="G26" s="12" t="s">
        <v>0</v>
      </c>
    </row>
    <row r="27" spans="1:7" ht="19.899999999999999" customHeight="1">
      <c r="A27" s="10" t="s">
        <v>13</v>
      </c>
      <c r="B27" s="31">
        <v>45985</v>
      </c>
      <c r="C27" s="31" t="str">
        <f>C26</f>
        <v>Siddhanth Waghmare</v>
      </c>
      <c r="D27" s="11" t="s">
        <v>6</v>
      </c>
      <c r="E27" s="11" t="s">
        <v>0</v>
      </c>
      <c r="F27" s="12" t="s">
        <v>0</v>
      </c>
      <c r="G27" s="12" t="s">
        <v>0</v>
      </c>
    </row>
    <row r="28" spans="1:7" ht="19.899999999999999" customHeight="1">
      <c r="A28" s="10" t="s">
        <v>14</v>
      </c>
      <c r="B28" s="31">
        <v>45985</v>
      </c>
      <c r="C28" s="31" t="str">
        <f>C27</f>
        <v>Siddhanth Waghmare</v>
      </c>
      <c r="D28" s="11" t="s">
        <v>0</v>
      </c>
      <c r="E28" s="11" t="s">
        <v>0</v>
      </c>
      <c r="F28" s="12" t="s">
        <v>0</v>
      </c>
      <c r="G28" s="12" t="s">
        <v>0</v>
      </c>
    </row>
    <row r="29" spans="1:7" ht="40.15" customHeight="1"/>
  </sheetData>
  <autoFilter ref="A1:G29" xr:uid="{8086B6AB-E0A4-4013-A3CB-1C8214A3B081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27AB-9B4C-42C3-9998-E7B5138F86DE}">
  <dimension ref="A1:G26"/>
  <sheetViews>
    <sheetView topLeftCell="B1" workbookViewId="0">
      <selection activeCell="D1" sqref="D1:G1048576"/>
    </sheetView>
  </sheetViews>
  <sheetFormatPr defaultColWidth="8.75" defaultRowHeight="14.25"/>
  <cols>
    <col min="1" max="1" width="110.75" style="7" bestFit="1" customWidth="1"/>
    <col min="2" max="2" width="25" style="13" customWidth="1"/>
    <col min="3" max="3" width="17.375" style="25" bestFit="1" customWidth="1"/>
    <col min="4" max="4" width="58.25" style="23" bestFit="1" customWidth="1"/>
    <col min="5" max="5" width="13.25" style="7" bestFit="1" customWidth="1"/>
    <col min="6" max="6" width="18.125" style="7" bestFit="1" customWidth="1"/>
    <col min="7" max="7" width="21.375" style="7" bestFit="1" customWidth="1"/>
    <col min="8" max="16384" width="8.75" style="7"/>
  </cols>
  <sheetData>
    <row r="1" spans="1:7" ht="40.15" customHeight="1">
      <c r="A1" s="1" t="s">
        <v>34</v>
      </c>
    </row>
    <row r="2" spans="1:7" ht="19.899999999999999" customHeight="1">
      <c r="A2" s="2" t="s">
        <v>7</v>
      </c>
    </row>
    <row r="3" spans="1:7" ht="19.899999999999999" customHeight="1">
      <c r="A3" s="8" t="s">
        <v>1</v>
      </c>
      <c r="B3" s="51" t="s">
        <v>69</v>
      </c>
      <c r="C3" s="51" t="s">
        <v>64</v>
      </c>
      <c r="D3" s="52" t="s">
        <v>2</v>
      </c>
      <c r="E3" s="52" t="s">
        <v>3</v>
      </c>
      <c r="F3" s="52" t="s">
        <v>4</v>
      </c>
      <c r="G3" s="52" t="s">
        <v>5</v>
      </c>
    </row>
    <row r="4" spans="1:7" ht="19.899999999999999" customHeight="1">
      <c r="A4" s="10" t="s">
        <v>57</v>
      </c>
      <c r="B4" s="14" t="s">
        <v>47</v>
      </c>
      <c r="C4" s="27">
        <f>[1]Legend!$C$10+1</f>
        <v>45902</v>
      </c>
      <c r="D4" s="11" t="s">
        <v>58</v>
      </c>
      <c r="E4" s="11" t="s">
        <v>0</v>
      </c>
      <c r="F4" s="12" t="s">
        <v>0</v>
      </c>
      <c r="G4" s="12" t="s">
        <v>0</v>
      </c>
    </row>
    <row r="5" spans="1:7" ht="19.899999999999999" customHeight="1">
      <c r="A5" s="10" t="s">
        <v>8</v>
      </c>
      <c r="B5" s="14" t="s">
        <v>47</v>
      </c>
      <c r="C5" s="27">
        <f>[1]Legend!$C$10+1</f>
        <v>45902</v>
      </c>
      <c r="D5" s="11" t="s">
        <v>0</v>
      </c>
      <c r="E5" s="11" t="s">
        <v>0</v>
      </c>
      <c r="F5" s="12" t="s">
        <v>0</v>
      </c>
      <c r="G5" s="12" t="s">
        <v>0</v>
      </c>
    </row>
    <row r="6" spans="1:7" ht="19.899999999999999" customHeight="1">
      <c r="A6" s="10" t="s">
        <v>9</v>
      </c>
      <c r="B6" s="19" t="s">
        <v>46</v>
      </c>
      <c r="C6" s="32">
        <f>[1]Legend!$C$10+30</f>
        <v>45931</v>
      </c>
      <c r="D6" s="11" t="s">
        <v>6</v>
      </c>
      <c r="E6" s="11" t="s">
        <v>0</v>
      </c>
      <c r="F6" s="12" t="s">
        <v>0</v>
      </c>
      <c r="G6" s="12" t="s">
        <v>0</v>
      </c>
    </row>
    <row r="7" spans="1:7" ht="19.899999999999999" customHeight="1">
      <c r="A7" s="10" t="s">
        <v>59</v>
      </c>
      <c r="B7" s="17" t="s">
        <v>50</v>
      </c>
      <c r="C7" s="30">
        <f>[1]Legend!$C$12-15</f>
        <v>45977</v>
      </c>
      <c r="D7" s="11" t="s">
        <v>0</v>
      </c>
      <c r="E7" s="11" t="s">
        <v>0</v>
      </c>
      <c r="F7" s="12" t="s">
        <v>0</v>
      </c>
      <c r="G7" s="12" t="s">
        <v>0</v>
      </c>
    </row>
    <row r="8" spans="1:7" ht="40.15" customHeight="1"/>
    <row r="9" spans="1:7" ht="19.899999999999999" customHeight="1">
      <c r="A9" s="3" t="s">
        <v>65</v>
      </c>
    </row>
    <row r="10" spans="1:7" ht="19.899999999999999" customHeight="1">
      <c r="A10" s="8" t="s">
        <v>1</v>
      </c>
      <c r="B10" s="50" t="s">
        <v>35</v>
      </c>
      <c r="C10" s="51" t="s">
        <v>64</v>
      </c>
      <c r="D10" s="52" t="s">
        <v>2</v>
      </c>
      <c r="E10" s="52" t="s">
        <v>3</v>
      </c>
      <c r="F10" s="52" t="s">
        <v>4</v>
      </c>
      <c r="G10" s="52" t="s">
        <v>5</v>
      </c>
    </row>
    <row r="11" spans="1:7" ht="19.899999999999999" customHeight="1">
      <c r="A11" s="10" t="s">
        <v>10</v>
      </c>
      <c r="B11" s="14" t="s">
        <v>47</v>
      </c>
      <c r="C11" s="27">
        <f>[1]Legend!$C$10+1</f>
        <v>45902</v>
      </c>
      <c r="D11" s="11" t="s">
        <v>6</v>
      </c>
      <c r="E11" s="11" t="s">
        <v>0</v>
      </c>
      <c r="F11" s="12" t="s">
        <v>0</v>
      </c>
      <c r="G11" s="12" t="s">
        <v>0</v>
      </c>
    </row>
    <row r="12" spans="1:7" ht="19.899999999999999" customHeight="1">
      <c r="A12" s="10" t="s">
        <v>11</v>
      </c>
      <c r="B12" s="15" t="s">
        <v>48</v>
      </c>
      <c r="C12" s="28">
        <f>[1]Legend!$C$10+7</f>
        <v>45908</v>
      </c>
      <c r="D12" s="11" t="s">
        <v>6</v>
      </c>
      <c r="E12" s="11" t="s">
        <v>0</v>
      </c>
      <c r="F12" s="12" t="s">
        <v>0</v>
      </c>
      <c r="G12" s="12" t="s">
        <v>0</v>
      </c>
    </row>
    <row r="13" spans="1:7" ht="19.899999999999999" customHeight="1">
      <c r="A13" s="10" t="s">
        <v>60</v>
      </c>
      <c r="B13" s="20" t="s">
        <v>52</v>
      </c>
      <c r="C13" s="33">
        <f>[1]Legend!$C$10+15</f>
        <v>45916</v>
      </c>
      <c r="D13" s="11" t="s">
        <v>6</v>
      </c>
      <c r="E13" s="11" t="s">
        <v>0</v>
      </c>
      <c r="F13" s="12" t="s">
        <v>0</v>
      </c>
      <c r="G13" s="12" t="s">
        <v>0</v>
      </c>
    </row>
    <row r="14" spans="1:7" ht="40.15" customHeight="1"/>
    <row r="15" spans="1:7" ht="19.899999999999999" customHeight="1">
      <c r="A15" s="3" t="s">
        <v>66</v>
      </c>
    </row>
    <row r="16" spans="1:7" ht="19.899999999999999" customHeight="1">
      <c r="A16" s="8" t="s">
        <v>1</v>
      </c>
      <c r="B16" s="50" t="s">
        <v>35</v>
      </c>
      <c r="C16" s="51" t="s">
        <v>64</v>
      </c>
      <c r="D16" s="52" t="s">
        <v>2</v>
      </c>
      <c r="E16" s="52" t="s">
        <v>3</v>
      </c>
      <c r="F16" s="52" t="s">
        <v>4</v>
      </c>
      <c r="G16" s="52" t="s">
        <v>5</v>
      </c>
    </row>
    <row r="17" spans="1:7" ht="19.899999999999999" customHeight="1">
      <c r="A17" s="10" t="s">
        <v>10</v>
      </c>
      <c r="B17" s="14" t="s">
        <v>47</v>
      </c>
      <c r="C17" s="27">
        <f>[1]Legend!$C$10+1</f>
        <v>45902</v>
      </c>
      <c r="D17" s="11" t="s">
        <v>6</v>
      </c>
      <c r="E17" s="11" t="s">
        <v>0</v>
      </c>
      <c r="F17" s="12" t="s">
        <v>0</v>
      </c>
      <c r="G17" s="12" t="s">
        <v>0</v>
      </c>
    </row>
    <row r="18" spans="1:7" ht="19.899999999999999" customHeight="1">
      <c r="A18" s="10" t="s">
        <v>11</v>
      </c>
      <c r="B18" s="15" t="s">
        <v>48</v>
      </c>
      <c r="C18" s="28">
        <f>[1]Legend!$C$10+7</f>
        <v>45908</v>
      </c>
      <c r="D18" s="11" t="s">
        <v>6</v>
      </c>
      <c r="E18" s="11" t="s">
        <v>0</v>
      </c>
      <c r="F18" s="12" t="s">
        <v>0</v>
      </c>
      <c r="G18" s="12" t="s">
        <v>0</v>
      </c>
    </row>
    <row r="19" spans="1:7" ht="19.899999999999999" customHeight="1">
      <c r="A19" s="10" t="s">
        <v>60</v>
      </c>
      <c r="B19" s="20" t="s">
        <v>52</v>
      </c>
      <c r="C19" s="33">
        <f>[1]Legend!$C$10+15</f>
        <v>45916</v>
      </c>
      <c r="D19" s="11" t="s">
        <v>6</v>
      </c>
      <c r="E19" s="11" t="s">
        <v>0</v>
      </c>
      <c r="F19" s="12" t="s">
        <v>0</v>
      </c>
      <c r="G19" s="12" t="s">
        <v>0</v>
      </c>
    </row>
    <row r="20" spans="1:7" ht="40.15" customHeight="1"/>
    <row r="21" spans="1:7" ht="19.899999999999999" customHeight="1">
      <c r="A21" s="4" t="s">
        <v>12</v>
      </c>
    </row>
    <row r="22" spans="1:7" ht="19.899999999999999" customHeight="1">
      <c r="A22" s="8" t="s">
        <v>1</v>
      </c>
      <c r="B22" s="50" t="s">
        <v>35</v>
      </c>
      <c r="C22" s="51" t="s">
        <v>64</v>
      </c>
      <c r="D22" s="52" t="s">
        <v>2</v>
      </c>
      <c r="E22" s="52" t="s">
        <v>3</v>
      </c>
      <c r="F22" s="52" t="s">
        <v>4</v>
      </c>
      <c r="G22" s="52" t="s">
        <v>5</v>
      </c>
    </row>
    <row r="23" spans="1:7" ht="19.899999999999999" customHeight="1">
      <c r="A23" s="10" t="s">
        <v>61</v>
      </c>
      <c r="B23" s="14" t="s">
        <v>47</v>
      </c>
      <c r="C23" s="27">
        <f>[1]Legend!$C$10+1</f>
        <v>45902</v>
      </c>
      <c r="D23" s="11" t="s">
        <v>0</v>
      </c>
      <c r="E23" s="11" t="s">
        <v>0</v>
      </c>
      <c r="F23" s="12" t="s">
        <v>0</v>
      </c>
      <c r="G23" s="12" t="s">
        <v>0</v>
      </c>
    </row>
    <row r="24" spans="1:7" ht="19.899999999999999" customHeight="1">
      <c r="A24" s="10" t="s">
        <v>62</v>
      </c>
      <c r="B24" s="16" t="s">
        <v>49</v>
      </c>
      <c r="C24" s="29">
        <f>[1]Legend!$C$12-30</f>
        <v>45962</v>
      </c>
      <c r="D24" s="11" t="s">
        <v>0</v>
      </c>
      <c r="E24" s="11" t="s">
        <v>0</v>
      </c>
      <c r="F24" s="12" t="s">
        <v>0</v>
      </c>
      <c r="G24" s="12" t="s">
        <v>0</v>
      </c>
    </row>
    <row r="25" spans="1:7" ht="19.899999999999999" customHeight="1">
      <c r="A25" s="10" t="s">
        <v>13</v>
      </c>
      <c r="B25" s="18" t="s">
        <v>51</v>
      </c>
      <c r="C25" s="31">
        <f>[1]Legend!$C$12-7</f>
        <v>45985</v>
      </c>
      <c r="D25" s="11" t="s">
        <v>6</v>
      </c>
      <c r="E25" s="11" t="s">
        <v>0</v>
      </c>
      <c r="F25" s="12" t="s">
        <v>0</v>
      </c>
      <c r="G25" s="12" t="s">
        <v>0</v>
      </c>
    </row>
    <row r="26" spans="1:7" ht="19.899999999999999" customHeight="1">
      <c r="A26" s="10" t="s">
        <v>14</v>
      </c>
      <c r="B26" s="18" t="s">
        <v>51</v>
      </c>
      <c r="C26" s="31">
        <f>[1]Legend!$C$12-7</f>
        <v>45985</v>
      </c>
      <c r="D26" s="11" t="s">
        <v>0</v>
      </c>
      <c r="E26" s="11" t="s">
        <v>0</v>
      </c>
      <c r="F26" s="12" t="s">
        <v>0</v>
      </c>
      <c r="G26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Sample 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Varalakshmi Naudoori</cp:lastModifiedBy>
  <cp:revision>0</cp:revision>
  <dcterms:created xsi:type="dcterms:W3CDTF">2023-10-04T07:34:14Z</dcterms:created>
  <dcterms:modified xsi:type="dcterms:W3CDTF">2026-04-02T04:50:43Z</dcterms:modified>
</cp:coreProperties>
</file>