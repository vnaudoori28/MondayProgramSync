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baf977624bf256/Documents/GitHub/MondayProgramSync/MondayProgramSync/programs/2026-10_India_Pilot_2/"/>
    </mc:Choice>
  </mc:AlternateContent>
  <xr:revisionPtr revIDLastSave="5" documentId="13_ncr:1_{320A2FC3-4A92-4980-AE71-ADA670317387}" xr6:coauthVersionLast="47" xr6:coauthVersionMax="47" xr10:uidLastSave="{0345B7B0-0FCF-4BF4-9FAE-DF7BEF9B7748}"/>
  <bookViews>
    <workbookView xWindow="-120" yWindow="-120" windowWidth="21840" windowHeight="13020" xr2:uid="{00000000-000D-0000-FFFF-FFFF00000000}"/>
  </bookViews>
  <sheets>
    <sheet name="Legend" sheetId="2" r:id="rId1"/>
    <sheet name="Operations Process" sheetId="1" r:id="rId2"/>
    <sheet name="Faculty Led Programs" sheetId="3" r:id="rId3"/>
    <sheet name="Internships" sheetId="6" r:id="rId4"/>
    <sheet name="QC Checklis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0" i="6" l="1"/>
  <c r="C129" i="6"/>
  <c r="C128" i="6"/>
  <c r="C127" i="6"/>
  <c r="C126" i="6"/>
  <c r="C118" i="6"/>
  <c r="C117" i="6"/>
  <c r="C116" i="6"/>
  <c r="C115" i="6"/>
  <c r="C114" i="6"/>
  <c r="C113" i="6"/>
  <c r="C112" i="6"/>
  <c r="C111" i="6"/>
  <c r="C110" i="6"/>
  <c r="C109" i="6"/>
  <c r="C108" i="6"/>
  <c r="C104" i="6"/>
  <c r="C103" i="6"/>
  <c r="C102" i="6"/>
  <c r="C101" i="6"/>
  <c r="C100" i="6"/>
  <c r="C99" i="6"/>
  <c r="C95" i="6"/>
  <c r="C94" i="6"/>
  <c r="C89" i="6"/>
  <c r="C88" i="6"/>
  <c r="C87" i="6"/>
  <c r="C86" i="6"/>
  <c r="C85" i="6"/>
  <c r="C84" i="6"/>
  <c r="C83" i="6"/>
  <c r="C82" i="6"/>
  <c r="C78" i="6"/>
  <c r="C77" i="6"/>
  <c r="C76" i="6"/>
  <c r="C75" i="6"/>
  <c r="C71" i="6"/>
  <c r="C70" i="6"/>
  <c r="C69" i="6"/>
  <c r="C68" i="6"/>
  <c r="C64" i="6"/>
  <c r="C63" i="6"/>
  <c r="C62" i="6"/>
  <c r="C61" i="6"/>
  <c r="C57" i="6"/>
  <c r="C56" i="6"/>
  <c r="C55" i="6"/>
  <c r="C51" i="6"/>
  <c r="C50" i="6"/>
  <c r="C49" i="6"/>
  <c r="C48" i="6"/>
  <c r="C44" i="6"/>
  <c r="C39" i="6"/>
  <c r="C38" i="6"/>
  <c r="C33" i="6"/>
  <c r="C32" i="6"/>
  <c r="C31" i="6"/>
  <c r="C30" i="6"/>
  <c r="C29" i="6"/>
  <c r="C28" i="6"/>
  <c r="C27" i="6"/>
  <c r="C25" i="6"/>
  <c r="C24" i="6"/>
  <c r="C23" i="6"/>
  <c r="C22" i="6"/>
  <c r="C21" i="6"/>
  <c r="C20" i="6"/>
  <c r="C16" i="6"/>
  <c r="C15" i="6"/>
  <c r="C9" i="6"/>
  <c r="C8" i="6"/>
  <c r="C7" i="6"/>
  <c r="C6" i="6"/>
  <c r="C5" i="6"/>
  <c r="C104" i="3"/>
  <c r="C54" i="5"/>
  <c r="C53" i="5"/>
  <c r="C52" i="5"/>
  <c r="C51" i="5"/>
  <c r="C89" i="3"/>
  <c r="C48" i="5"/>
  <c r="C94" i="3"/>
  <c r="C45" i="5"/>
  <c r="C44" i="5"/>
  <c r="C43" i="5"/>
  <c r="C40" i="5"/>
  <c r="C36" i="5"/>
  <c r="C64" i="3"/>
  <c r="C63" i="3"/>
  <c r="C33" i="5"/>
  <c r="C49" i="3"/>
  <c r="C44" i="3"/>
  <c r="C29" i="5"/>
  <c r="C28" i="5"/>
  <c r="C27" i="5"/>
  <c r="C26" i="5"/>
  <c r="C25" i="5"/>
  <c r="C24" i="5"/>
  <c r="C13" i="5"/>
  <c r="C12" i="5"/>
  <c r="C11" i="5"/>
  <c r="C19" i="5"/>
  <c r="C16" i="5"/>
  <c r="C15" i="5"/>
  <c r="C10" i="5"/>
  <c r="C27" i="3"/>
  <c r="C9" i="5"/>
  <c r="C8" i="5"/>
  <c r="C16" i="3"/>
  <c r="C15" i="3"/>
  <c r="C6" i="5" l="1"/>
  <c r="C5" i="5"/>
  <c r="C116" i="3" l="1"/>
  <c r="C115" i="3"/>
  <c r="C114" i="3"/>
  <c r="C113" i="3"/>
  <c r="C112" i="3"/>
  <c r="C103" i="3"/>
  <c r="C102" i="3"/>
  <c r="C101" i="3"/>
  <c r="C100" i="3"/>
  <c r="C99" i="3"/>
  <c r="C95" i="3"/>
  <c r="C88" i="3"/>
  <c r="C87" i="3"/>
  <c r="C86" i="3"/>
  <c r="C85" i="3"/>
  <c r="C84" i="3"/>
  <c r="C83" i="3"/>
  <c r="C82" i="3"/>
  <c r="C78" i="3"/>
  <c r="C77" i="3"/>
  <c r="C76" i="3"/>
  <c r="C75" i="3"/>
  <c r="C71" i="3"/>
  <c r="C70" i="3"/>
  <c r="C69" i="3"/>
  <c r="C68" i="3"/>
  <c r="C62" i="3"/>
  <c r="C61" i="3"/>
  <c r="C57" i="3"/>
  <c r="C56" i="3"/>
  <c r="C55" i="3"/>
  <c r="C51" i="3"/>
  <c r="C50" i="3"/>
  <c r="C48" i="3"/>
  <c r="C39" i="3"/>
  <c r="C38" i="3"/>
  <c r="C33" i="3"/>
  <c r="C32" i="3"/>
  <c r="C31" i="3"/>
  <c r="C30" i="3"/>
  <c r="C29" i="3"/>
  <c r="C28" i="3"/>
  <c r="C25" i="3"/>
  <c r="C24" i="3"/>
  <c r="C23" i="3"/>
  <c r="C22" i="3"/>
  <c r="C21" i="3"/>
  <c r="C20" i="3"/>
  <c r="C9" i="3"/>
  <c r="C8" i="3"/>
  <c r="C7" i="3"/>
  <c r="C6" i="3"/>
  <c r="C5" i="3"/>
  <c r="C112" i="1"/>
  <c r="C110" i="1"/>
  <c r="C111" i="1"/>
  <c r="C59" i="1" l="1"/>
  <c r="C58" i="1"/>
  <c r="C57" i="1"/>
  <c r="C56" i="1"/>
  <c r="C201" i="1"/>
  <c r="C200" i="1"/>
  <c r="C199" i="1"/>
  <c r="C198" i="1"/>
  <c r="C197" i="1"/>
  <c r="C55" i="1"/>
  <c r="C54" i="1"/>
  <c r="C90" i="1"/>
  <c r="C70" i="1"/>
  <c r="C69" i="1"/>
  <c r="C31" i="1"/>
  <c r="C49" i="1"/>
  <c r="C47" i="1"/>
  <c r="C48" i="1"/>
  <c r="C45" i="1"/>
  <c r="C46" i="1"/>
  <c r="C29" i="1"/>
  <c r="C24" i="1"/>
  <c r="C23" i="1"/>
  <c r="C11" i="1"/>
  <c r="C10" i="1"/>
  <c r="C64" i="1"/>
  <c r="C177" i="1"/>
  <c r="C176" i="1"/>
  <c r="C175" i="1"/>
  <c r="C174" i="1"/>
  <c r="C173" i="1"/>
  <c r="C172" i="1"/>
  <c r="C171" i="1"/>
  <c r="C170" i="1"/>
  <c r="C162" i="1"/>
  <c r="C161" i="1"/>
  <c r="C160" i="1"/>
  <c r="C159" i="1"/>
  <c r="C158" i="1"/>
  <c r="C157" i="1"/>
  <c r="C156" i="1"/>
  <c r="C155" i="1"/>
  <c r="C154" i="1"/>
  <c r="C147" i="1"/>
  <c r="C146" i="1"/>
  <c r="C145" i="1"/>
  <c r="C144" i="1"/>
  <c r="C135" i="1"/>
  <c r="C134" i="1"/>
  <c r="C133" i="1"/>
  <c r="C132" i="1"/>
  <c r="C131" i="1"/>
  <c r="C122" i="1"/>
  <c r="C121" i="1"/>
  <c r="C120" i="1"/>
  <c r="C119" i="1"/>
  <c r="C118" i="1"/>
  <c r="C117" i="1"/>
  <c r="C116" i="1"/>
  <c r="C115" i="1"/>
  <c r="C105" i="1"/>
  <c r="C104" i="1"/>
  <c r="C103" i="1"/>
  <c r="C102" i="1"/>
  <c r="C169" i="1"/>
  <c r="C168" i="1"/>
  <c r="C167" i="1"/>
  <c r="C153" i="1"/>
  <c r="C152" i="1"/>
  <c r="C143" i="1"/>
  <c r="C142" i="1"/>
  <c r="C141" i="1"/>
  <c r="C140" i="1"/>
  <c r="C130" i="1"/>
  <c r="C129" i="1"/>
  <c r="C128" i="1"/>
  <c r="C127" i="1"/>
  <c r="C114" i="1"/>
  <c r="C113" i="1"/>
  <c r="C101" i="1"/>
  <c r="C100" i="1"/>
  <c r="C99" i="1"/>
  <c r="C94" i="1"/>
  <c r="C93" i="1"/>
  <c r="C92" i="1"/>
  <c r="C91" i="1"/>
  <c r="C89" i="1"/>
  <c r="C83" i="1"/>
  <c r="C88" i="1"/>
  <c r="C82" i="1"/>
  <c r="C81" i="1"/>
  <c r="C80" i="1"/>
  <c r="C79" i="1"/>
  <c r="C74" i="1"/>
  <c r="C73" i="1"/>
  <c r="C72" i="1"/>
  <c r="C71" i="1"/>
  <c r="C68" i="1"/>
  <c r="C67" i="1"/>
  <c r="C66" i="1"/>
  <c r="C65" i="1"/>
  <c r="C40" i="1"/>
  <c r="C39" i="1"/>
  <c r="C37" i="1"/>
  <c r="C38" i="1"/>
  <c r="C36" i="1"/>
  <c r="C35" i="1"/>
  <c r="C34" i="1"/>
  <c r="C33" i="1"/>
  <c r="C32" i="1"/>
  <c r="C30" i="1"/>
  <c r="C28" i="1"/>
  <c r="C27" i="1"/>
  <c r="C26" i="1"/>
  <c r="C21" i="1"/>
  <c r="C25" i="1"/>
  <c r="C22" i="1"/>
  <c r="C7" i="2"/>
  <c r="C12" i="1"/>
  <c r="C9" i="1"/>
  <c r="C8" i="1"/>
  <c r="C7" i="1"/>
  <c r="C6" i="1"/>
  <c r="C5" i="1"/>
  <c r="C15" i="1" l="1"/>
  <c r="C7" i="5"/>
  <c r="C11" i="6"/>
  <c r="C10" i="6"/>
  <c r="C11" i="3"/>
  <c r="C10" i="3"/>
  <c r="C13" i="1"/>
  <c r="C14" i="1"/>
  <c r="C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Siddhanth Waghmare</author>
  </authors>
  <commentList>
    <comment ref="E209" authorId="0" shapeId="0" xr:uid="{5BF340C3-BDEF-4FB5-ADE3-2AEDB97EB59B}">
      <text>
        <r>
          <rPr>
            <b/>
            <sz val="9"/>
            <color indexed="81"/>
            <rFont val="Tahoma"/>
            <family val="2"/>
          </rPr>
          <t>Siddhanth Waghmare:</t>
        </r>
        <r>
          <rPr>
            <sz val="9"/>
            <color indexed="81"/>
            <rFont val="Tahoma"/>
            <family val="2"/>
          </rPr>
          <t xml:space="preserve">
KEY SYSTEM ENHANCEMENTS
1. Booking Management System
• Triple verification protocol for all reservations
• Automated alerts for enrollment changes
• Screenshot confirmation requirements
• Penalty clauses in vendor contracts
2. Communication Framework
• Mandatory 72-hour vendor briefings
• Monday.com real-time collaboration
• Written confirmation protocols
• Local language documentation requirements
3. Quality Assurance Protocol
• 52-point pre-departure checklist
• Daily operations monitoring
• Service failure compensation framework
• Continuous improvement documentation
4. Emergency Response Enhancement
• Weather contingency planning
• Emergency transportation budget
• Immediate escalation procedures
• 24/7 management access
________________________________________
COMPLIANCE CHECKPOINTS
New Mandatory Checkpoints Based on OSU Issues:
✓ Accommodation Standards Verification
• Private bathroom confirmation
• Accessibility compliance
• Group cohesion maintenance
✓ Transportation Coordination
• Driver briefing completion
• Safety protocol acknowledgment
• Itinerary delivery confirmation
✓ Vendor Service Specifications
• Size/weight limitations documented
• Service restrictions communicated
• Academic objectives clarified
✓ Timeline Management
• Deliverable scheduling verification
• Weather contingency activation
• Change request protocol adherence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Siddhanth Waghmare</author>
  </authors>
  <commentList>
    <comment ref="E124" authorId="0" shapeId="0" xr:uid="{895ED85B-31F0-46C3-923D-469C0C739D5B}">
      <text>
        <r>
          <rPr>
            <b/>
            <sz val="9"/>
            <color indexed="81"/>
            <rFont val="Tahoma"/>
            <family val="2"/>
          </rPr>
          <t>Siddhanth Waghmare:</t>
        </r>
        <r>
          <rPr>
            <sz val="9"/>
            <color indexed="81"/>
            <rFont val="Tahoma"/>
            <family val="2"/>
          </rPr>
          <t xml:space="preserve">
KEY SYSTEM ENHANCEMENTS
1. Booking Management System
• Triple verification protocol for all reservations
• Automated alerts for enrollment changes
• Screenshot confirmation requirements
• Penalty clauses in vendor contracts
2. Communication Framework
• Mandatory 72-hour vendor briefings
• Monday.com real-time collaboration
• Written confirmation protocols
• Local language documentation requirements
3. Quality Assurance Protocol
• 52-point pre-departure checklist
• Daily operations monitoring
• Service failure compensation framework
• Continuous improvement documentation
4. Emergency Response Enhancement
• Weather contingency planning
• Emergency transportation budget
• Immediate escalation procedures
• 24/7 management access
________________________________________
COMPLIANCE CHECKPOINTS
New Mandatory Checkpoints Based on OSU Issues:
✓ Accommodation Standards Verification
• Private bathroom confirmation
• Accessibility compliance
• Group cohesion maintenance
✓ Transportation Coordination
• Driver briefing completion
• Safety protocol acknowledgment
• Itinerary delivery confirmation
✓ Vendor Service Specifications
• Size/weight limitations documented
• Service restrictions communicated
• Academic objectives clarified
✓ Timeline Management
• Deliverable scheduling verification
• Weather contingency activation
• Change request protocol adherence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Siddhanth Waghmare</author>
  </authors>
  <commentList>
    <comment ref="E138" authorId="0" shapeId="0" xr:uid="{81A11F20-D992-40ED-85C6-2200FB5BFF2F}">
      <text>
        <r>
          <rPr>
            <b/>
            <sz val="9"/>
            <color indexed="81"/>
            <rFont val="Tahoma"/>
            <family val="2"/>
          </rPr>
          <t>Siddhanth Waghmare:</t>
        </r>
        <r>
          <rPr>
            <sz val="9"/>
            <color indexed="81"/>
            <rFont val="Tahoma"/>
            <family val="2"/>
          </rPr>
          <t xml:space="preserve">
KEY SYSTEM ENHANCEMENTS
1. Booking Management System
• Triple verification protocol for all reservations
• Automated alerts for enrollment changes
• Screenshot confirmation requirements
• Penalty clauses in vendor contracts
2. Communication Framework
• Mandatory 72-hour vendor briefings
• Monday.com real-time collaboration
• Written confirmation protocols
• Local language documentation requirements
3. Quality Assurance Protocol
• 52-point pre-departure checklist
• Daily operations monitoring
• Service failure compensation framework
• Continuous improvement documentation
4. Emergency Response Enhancement
• Weather contingency planning
• Emergency transportation budget
• Immediate escalation procedures
• 24/7 management access
________________________________________
COMPLIANCE CHECKPOINTS
New Mandatory Checkpoints Based on OSU Issues:
✓ Accommodation Standards Verification
• Private bathroom confirmation
• Accessibility compliance
• Group cohesion maintenance
✓ Transportation Coordination
• Driver briefing completion
• Safety protocol acknowledgment
• Itinerary delivery confirmation
✓ Vendor Service Specifications
• Size/weight limitations documented
• Service restrictions communicated
• Academic objectives clarified
✓ Timeline Management
• Deliverable scheduling verification
• Weather contingency activation
• Change request protocol adherence
</t>
        </r>
      </text>
    </comment>
  </commentList>
</comments>
</file>

<file path=xl/sharedStrings.xml><?xml version="1.0" encoding="utf-8"?>
<sst xmlns="http://schemas.openxmlformats.org/spreadsheetml/2006/main" count="2714" uniqueCount="346">
  <si>
    <t/>
  </si>
  <si>
    <t>Action Items while sending proposals</t>
  </si>
  <si>
    <t>Name</t>
  </si>
  <si>
    <t>Notes</t>
  </si>
  <si>
    <t>Process #</t>
  </si>
  <si>
    <t>Timeline - Start</t>
  </si>
  <si>
    <t>Timeline - End</t>
  </si>
  <si>
    <t>Ensure sales hand-off template is filled; clarify doubts, if any before working on the proposal</t>
  </si>
  <si>
    <t>Use itinerary elements template to detail out the requirements</t>
  </si>
  <si>
    <t>Use vendor template to reach out to DMCs etc.</t>
  </si>
  <si>
    <t>Decide FOC etc. terms with hotels</t>
  </si>
  <si>
    <t>Use hotel options, dining options etc. templates to save all information</t>
  </si>
  <si>
    <t>Complete work on costing sheet and proposal formats</t>
  </si>
  <si>
    <t>Do a thorough proof-reading and cross-checking (with help from another team member)</t>
  </si>
  <si>
    <t>Ensure block on all hotels and important resources while sending proposals</t>
  </si>
  <si>
    <t>Followup with client on the proposal status</t>
  </si>
  <si>
    <t>could vary</t>
  </si>
  <si>
    <t>Action Items after program confirmation</t>
  </si>
  <si>
    <t>Create mastersheet and fill up all tabs with information till date</t>
  </si>
  <si>
    <t>Create and share googlesheets to collect information from client</t>
  </si>
  <si>
    <t>Prepare orientation ppt / other such information (e.g. language workshop, empathy workshop etc.)</t>
  </si>
  <si>
    <t>Update emergency action plan for the program</t>
  </si>
  <si>
    <t>Create and share pre-dep information / dossier</t>
  </si>
  <si>
    <t>Create checklist for delivery</t>
  </si>
  <si>
    <t>Continue updating mastersheet on regular basis</t>
  </si>
  <si>
    <t>Create documentation and communication plan</t>
  </si>
  <si>
    <t>Plan and prepare first aid kits and other relevant material specific to programs</t>
  </si>
  <si>
    <t>Print checklists and relevant documents</t>
  </si>
  <si>
    <t>Note any additional expenses beyond what we have invoiced for</t>
  </si>
  <si>
    <t>sometimes things are added even before program</t>
  </si>
  <si>
    <t>time-frame could vary</t>
  </si>
  <si>
    <t>Send invoice to client for additional expenses</t>
  </si>
  <si>
    <t>Send thank you notes to partner organizations / companies</t>
  </si>
  <si>
    <t>Hotels</t>
  </si>
  <si>
    <t>Confirm room requirement and configurations from client</t>
  </si>
  <si>
    <t>sometimes this gets modified later</t>
  </si>
  <si>
    <t>Re-confirm block for chosen hotels across locations (refer notes)</t>
  </si>
  <si>
    <t>this could involve contracting</t>
  </si>
  <si>
    <t>Release block for other hotels across locations</t>
  </si>
  <si>
    <t>Sign contracts with chosen hotels and procure invoices with payment details</t>
  </si>
  <si>
    <t>hotel's contract format</t>
  </si>
  <si>
    <t>Send advance to chosen hotels: CCA / bank transfer / outward remittance</t>
  </si>
  <si>
    <t>Collect rooming list from client</t>
  </si>
  <si>
    <t>Send rooming list to hotels</t>
  </si>
  <si>
    <t>Ensure rooms are allocated as per requirement</t>
  </si>
  <si>
    <t>Sort out any issues with the rooms in discussion with the duty manager</t>
  </si>
  <si>
    <t>Flight/Train bookings</t>
  </si>
  <si>
    <t>Confirm preferred flight/train option with client</t>
  </si>
  <si>
    <t>Decide whether you would approach some vendor or book online directly</t>
  </si>
  <si>
    <t>Collect participant information / passport scans</t>
  </si>
  <si>
    <t>Book flights/trains</t>
  </si>
  <si>
    <t>Share tickets with client</t>
  </si>
  <si>
    <t>Guides</t>
  </si>
  <si>
    <t>Re-confirm block for chosen guides</t>
  </si>
  <si>
    <t>Send draft itinerary to guides</t>
  </si>
  <si>
    <t>Send final itinerary / checklist and PAX info to guides</t>
  </si>
  <si>
    <t>Send advance for entrance fees etc.</t>
  </si>
  <si>
    <t>Be in touch on a daily basis to ensure things are going as per plan / discuss necessary modifications</t>
  </si>
  <si>
    <t>Settle accounts</t>
  </si>
  <si>
    <t>Meeting Rooms</t>
  </si>
  <si>
    <t>Finalize venue and block</t>
  </si>
  <si>
    <t>Pay advance, if needed</t>
  </si>
  <si>
    <t>Transport</t>
  </si>
  <si>
    <t>Confirm requirement for each destination / specific visits or requirements (e.g. seatbelts, wheelchair acess etc.)</t>
  </si>
  <si>
    <t>Contact DMC / local transport vendor with the requirement</t>
  </si>
  <si>
    <t>Block chosen vehicles</t>
  </si>
  <si>
    <t>Send tentative itinerary to check about routes, timings or any specific requirements/issues</t>
  </si>
  <si>
    <t>Send updated itinerary and placard</t>
  </si>
  <si>
    <t>Asian DMCs require this earlier</t>
  </si>
  <si>
    <t>Get driver details and confirm he has correct placard and itinerary</t>
  </si>
  <si>
    <t>Ensure driver knows the route / addresses and ensure tips are paid at the end</t>
  </si>
  <si>
    <t>to be done a day in advance</t>
  </si>
  <si>
    <t>Ensure tips are paid to each driver on the last day / EOD</t>
  </si>
  <si>
    <t>Settle accounts with the transport vendor after checking their invoice</t>
  </si>
  <si>
    <t>if any discrepancy, get it sorted</t>
  </si>
  <si>
    <t>Meals</t>
  </si>
  <si>
    <t>Confirm meal requirements to be included</t>
  </si>
  <si>
    <t>Research appropriate options in each destination (if not done already)</t>
  </si>
  <si>
    <t>sometimes we have specific seating requirement</t>
  </si>
  <si>
    <t>Contact shortlisted venues to get availability, rates and menu details</t>
  </si>
  <si>
    <t>Finalilze and block chosen venues</t>
  </si>
  <si>
    <t>sometimes client approval is needed</t>
  </si>
  <si>
    <t>Immersions</t>
  </si>
  <si>
    <t>Confirm criteria for immersions in each location</t>
  </si>
  <si>
    <t>Contact shortlisted options to get availability, rates and activity details</t>
  </si>
  <si>
    <t>Finalilze and block chosen options with any specific instruction (e.g. specific guides, atomic bomb survivor etc.)</t>
  </si>
  <si>
    <t>Org Visits</t>
  </si>
  <si>
    <t>Identify ideal org visits in each destination</t>
  </si>
  <si>
    <t>Ensure relevant team members reach out to the point of contact</t>
  </si>
  <si>
    <t>could continue over months</t>
  </si>
  <si>
    <t>Collect relevant info to be shared (e.g. bio book) from client</t>
  </si>
  <si>
    <t>Finalize visits in discussion with the client</t>
  </si>
  <si>
    <t>Get logistical contact at each org</t>
  </si>
  <si>
    <t>Send / collect relevant info (address, timings, entry/security procedure etc.)</t>
  </si>
  <si>
    <t>Reconfirm visit</t>
  </si>
  <si>
    <t>Ensure group reaches 10 mins. before meeting time and driver is ready at the end of the meeting</t>
  </si>
  <si>
    <t>Give gifts to our contacts</t>
  </si>
  <si>
    <t>Send thank you notes to org contacts</t>
  </si>
  <si>
    <t>within 24 hours of visit</t>
  </si>
  <si>
    <t>Collect feedback, if relevant</t>
  </si>
  <si>
    <t>Projects</t>
  </si>
  <si>
    <t>Confirm criteria for projects</t>
  </si>
  <si>
    <t>Identify relevant orgs and contact them with a template email with requirements</t>
  </si>
  <si>
    <t>Shortlist relevant / interested orgs and share their details to the client</t>
  </si>
  <si>
    <t>this might take longer</t>
  </si>
  <si>
    <t>Discuss project scope and help orgs draft project description</t>
  </si>
  <si>
    <t>Finalize project description and share with client</t>
  </si>
  <si>
    <t>Ensure org is ready to host group</t>
  </si>
  <si>
    <t>Send/collect relevant info and share with group (address, timings, specific procedure for first day etc.)</t>
  </si>
  <si>
    <t>Reconfirm all arrangements</t>
  </si>
  <si>
    <t>Accompany group to org location and ensure they are well settled</t>
  </si>
  <si>
    <t>Be in touch with the group and org throughout the program</t>
  </si>
  <si>
    <t>Collect feedback</t>
  </si>
  <si>
    <t>Category-wise steps for confirmed programs</t>
  </si>
  <si>
    <t xml:space="preserve">Legend for time-limits within which things need to be done: </t>
  </si>
  <si>
    <t xml:space="preserve">R </t>
  </si>
  <si>
    <t>stands for date of receiving RFP</t>
  </si>
  <si>
    <t xml:space="preserve">R+ </t>
  </si>
  <si>
    <t>stands for no. of days after receiving RFP</t>
  </si>
  <si>
    <t xml:space="preserve">S </t>
  </si>
  <si>
    <t>stands for proposal submission date</t>
  </si>
  <si>
    <t xml:space="preserve">S-/+ </t>
  </si>
  <si>
    <t>stands for no. of days before/after proposal submission date</t>
  </si>
  <si>
    <t xml:space="preserve">C </t>
  </si>
  <si>
    <t xml:space="preserve">C+ </t>
  </si>
  <si>
    <t>stands for no. of days after confirmation/go-ahead received from client</t>
  </si>
  <si>
    <t xml:space="preserve">P </t>
  </si>
  <si>
    <t>stands for program dates</t>
  </si>
  <si>
    <t xml:space="preserve">P- </t>
  </si>
  <si>
    <t>stands for no. of days before program start</t>
  </si>
  <si>
    <t xml:space="preserve">P+ </t>
  </si>
  <si>
    <t>stands for no. of days after the program ends</t>
  </si>
  <si>
    <t>Symbol</t>
  </si>
  <si>
    <t>Meaning</t>
  </si>
  <si>
    <t>Operations Process (Proposal to Delivery)</t>
  </si>
  <si>
    <t>Timeframe (Date)</t>
  </si>
  <si>
    <t>Date</t>
  </si>
  <si>
    <t>stands for date of confirmation (for repeat clients, this can be when they tell us group size)</t>
  </si>
  <si>
    <t>ensure payments &amp; cancellation are on agreeable terms</t>
  </si>
  <si>
    <t>Send advance invoice</t>
  </si>
  <si>
    <t>Send balance invoice</t>
  </si>
  <si>
    <t>Send payment links to individuals for single supp/extra nights/activities (e.g. baseball match) etc.</t>
  </si>
  <si>
    <t>Re-confirm exact requirement from client (preferred venue location, purpose of meeting, group size, AV requirement, F&amp;B etc.)</t>
  </si>
  <si>
    <t>Identify venue as per requirement (if not done at proposal stage)</t>
  </si>
  <si>
    <t>Re-confirm exact AV etc. requirement from client</t>
  </si>
  <si>
    <t>Share AV etc. requirement details to vendor</t>
  </si>
  <si>
    <t>Re-confirm all arrangements</t>
  </si>
  <si>
    <t>Send reminder about flight details to cient</t>
  </si>
  <si>
    <t>Receive arrival and departure details from client</t>
  </si>
  <si>
    <t>Send dietary restrictions</t>
  </si>
  <si>
    <t>Finalize menu with dietary restrictions</t>
  </si>
  <si>
    <t>Reconfirm seating and menu</t>
  </si>
  <si>
    <t>Balance payment</t>
  </si>
  <si>
    <t>Send/collect required info (e.g. PAX details)</t>
  </si>
  <si>
    <t>Balance payment, if relevant</t>
  </si>
  <si>
    <t>Input actual deadline of submitting proposal or Actual date of submitting proposal</t>
  </si>
  <si>
    <t>Input actual date of receiving RFP</t>
  </si>
  <si>
    <t>Input actual date of program confirmation</t>
  </si>
  <si>
    <t>Input actual program start date</t>
  </si>
  <si>
    <t>Enter Program end date + 7 days</t>
  </si>
  <si>
    <t>Send thank you notes on the same day of the visit (could vary based on the work load)</t>
  </si>
  <si>
    <t>PE</t>
  </si>
  <si>
    <t>stands for program end date</t>
  </si>
  <si>
    <t>Input actual program end date</t>
  </si>
  <si>
    <t>Program end date</t>
  </si>
  <si>
    <t>Settle balance payments within</t>
  </si>
  <si>
    <t>Document Version History</t>
  </si>
  <si>
    <t>Modified By</t>
  </si>
  <si>
    <t>Modified On</t>
  </si>
  <si>
    <t>Version #</t>
  </si>
  <si>
    <t>Comments</t>
  </si>
  <si>
    <t>Siddhanth Waghmare</t>
  </si>
  <si>
    <t>Updated a checklist for End-To-End Operations Process (Proposal to Delivery); created excel sheet from Monday board (Operations Process)</t>
  </si>
  <si>
    <t>Document all vendor service limitations and requirements</t>
  </si>
  <si>
    <t>Verify accommodation standards meet university requirements (private bathrooms, accessibility)</t>
  </si>
  <si>
    <t>NEW: Capture luggage transfer limits, group size restrictions, etc.</t>
  </si>
  <si>
    <t>NEW: Based on Cats Hostel Madrid issue</t>
  </si>
  <si>
    <t>R</t>
  </si>
  <si>
    <t>R+1</t>
  </si>
  <si>
    <t>R+7</t>
  </si>
  <si>
    <t>S-1</t>
  </si>
  <si>
    <t>Implement triple verification system for all bookings</t>
  </si>
  <si>
    <t>ENHANCED: Real-time tracking</t>
  </si>
  <si>
    <t>C+3</t>
  </si>
  <si>
    <t>Set up Monday.com collaboration board with university stakeholders</t>
  </si>
  <si>
    <t>Establish clear protocols for mid-program change requests</t>
  </si>
  <si>
    <t>C+30</t>
  </si>
  <si>
    <t>NEW: Based on OSU budget change requests</t>
  </si>
  <si>
    <t>S</t>
  </si>
  <si>
    <t>S+15</t>
  </si>
  <si>
    <t>Pre-departure planning</t>
  </si>
  <si>
    <t>Mandatory vendor service specification documentation</t>
  </si>
  <si>
    <t>Local partner certification training completion</t>
  </si>
  <si>
    <t>Accessibility assessment for all activities and routes</t>
  </si>
  <si>
    <t>Weather contingency planning for all group activities</t>
  </si>
  <si>
    <t>C+45</t>
  </si>
  <si>
    <t>C+40</t>
  </si>
  <si>
    <t>C+35</t>
  </si>
  <si>
    <t>NEW: All limitations documented</t>
  </si>
  <si>
    <t>NEW: University program standards</t>
  </si>
  <si>
    <t>NEW: San Sebastian route equity issue</t>
  </si>
  <si>
    <t>NEW: San Sebastian dinner issue</t>
  </si>
  <si>
    <t>Restaurant proximity verification (max 10min walk from accommodations)</t>
  </si>
  <si>
    <t>NEW: Spain group dinner locations</t>
  </si>
  <si>
    <t>Include comprehensive service limitations in student materials</t>
  </si>
  <si>
    <t>P-90</t>
  </si>
  <si>
    <t>C+1</t>
  </si>
  <si>
    <t>C+7</t>
  </si>
  <si>
    <t>P-30</t>
  </si>
  <si>
    <t>ENHANCED: Luggage specs, transit rules</t>
  </si>
  <si>
    <t>P-15</t>
  </si>
  <si>
    <t>P-7</t>
  </si>
  <si>
    <t>P</t>
  </si>
  <si>
    <t>P+7</t>
  </si>
  <si>
    <t>P-1</t>
  </si>
  <si>
    <t>C+15</t>
  </si>
  <si>
    <t>C</t>
  </si>
  <si>
    <t>P-60</t>
  </si>
  <si>
    <t>Final enrollment number update to all vendors</t>
  </si>
  <si>
    <t>NEW: Tsukuba hotel room issue prevention</t>
  </si>
  <si>
    <t>Academic objectives briefing with all guides and vendors</t>
  </si>
  <si>
    <t>NEW: Spain tour guide role clarification</t>
  </si>
  <si>
    <t>Triple Verification Protocol</t>
  </si>
  <si>
    <t>First verification: All bookings confirmed with vendors</t>
  </si>
  <si>
    <t>Second verification: Room counts, amenity specifications</t>
  </si>
  <si>
    <t>Third verification: Final headcount updates to all vendors</t>
  </si>
  <si>
    <t>Pre-program vendor briefing calls (hotels, transport, guides)</t>
  </si>
  <si>
    <t>Transit pass delivery confirmation (24hrs before first use)</t>
  </si>
  <si>
    <t>Driver briefing with printed itineraries in local language</t>
  </si>
  <si>
    <t>NEW: Screenshot confirmations required</t>
  </si>
  <si>
    <t>NEW: Private bathroom verification</t>
  </si>
  <si>
    <t>NEW: Prevent overbooking issues</t>
  </si>
  <si>
    <t>NEW: 72-hour advance coordination</t>
  </si>
  <si>
    <t>NEW: San Sebastian dinner issue prevention</t>
  </si>
  <si>
    <t>NEW: Spain bus coordination issue</t>
  </si>
  <si>
    <t>Evening debrief meetings with APM and faculty</t>
  </si>
  <si>
    <t>Vendor reconfirmation for next day activities</t>
  </si>
  <si>
    <t>Weather and contingency plan review</t>
  </si>
  <si>
    <t>Group cohesion monitoring and accommodation equity checks</t>
  </si>
  <si>
    <t>Daily</t>
  </si>
  <si>
    <t>NEW: Address emerging issues</t>
  </si>
  <si>
    <t>NEW: Prevent last-minute surprises</t>
  </si>
  <si>
    <t>NEW: Proactive planning</t>
  </si>
  <si>
    <t>NEW: Prevent split group issues</t>
  </si>
  <si>
    <t>-</t>
  </si>
  <si>
    <t>Enhanced Safety &amp; Communication</t>
  </si>
  <si>
    <t>Daily Operations Protocol</t>
  </si>
  <si>
    <t>Program Delivery</t>
  </si>
  <si>
    <t>Enhanced Quality Assurance</t>
  </si>
  <si>
    <t>WhatsApp group management (separate faculty/student groups)</t>
  </si>
  <si>
    <t>Daily safety protocol verification with drivers</t>
  </si>
  <si>
    <t>Emergency transportation budget activation protocols</t>
  </si>
  <si>
    <t>ENHANCED: Improved communication</t>
  </si>
  <si>
    <t>NEW: Spain bus safety incident prevention</t>
  </si>
  <si>
    <t>NEW: Weather-related backup plans</t>
  </si>
  <si>
    <t>Immediate debrief with all stakeholders within 48 hours</t>
  </si>
  <si>
    <t>Service failure compensation processing</t>
  </si>
  <si>
    <t>Local partner performance evaluation</t>
  </si>
  <si>
    <t>Process improvement documentation</t>
  </si>
  <si>
    <t>Client satisfaction follow-up call</t>
  </si>
  <si>
    <t>NEW: Rapid issue identification</t>
  </si>
  <si>
    <t>NEW: Proactive client relations</t>
  </si>
  <si>
    <t>NEW: Continuous improvement</t>
  </si>
  <si>
    <t>NEW: Learning integration</t>
  </si>
  <si>
    <t>NEW: Relationship management</t>
  </si>
  <si>
    <t>Real-time</t>
  </si>
  <si>
    <t>As needed</t>
  </si>
  <si>
    <t>P+15</t>
  </si>
  <si>
    <t>Created on</t>
  </si>
  <si>
    <t>This upgraded checklist incorporates specific learnings from the Ohio State KSA Spain and JADE programs to prevent recurrence of identified issues while maintaining operational excellence.</t>
  </si>
  <si>
    <t>Include detailed transportation requirements template (airport transfers, public transit specifications)</t>
  </si>
  <si>
    <t>NEW: Based on Barcelona transit confusion</t>
  </si>
  <si>
    <t>P-2</t>
  </si>
  <si>
    <t>Milestone</t>
  </si>
  <si>
    <t>Working on RFP</t>
  </si>
  <si>
    <t>Delivery</t>
  </si>
  <si>
    <t>Workng on RFP</t>
  </si>
  <si>
    <t>Planning</t>
  </si>
  <si>
    <t>Get quotes from DMCs/hotels for program dates</t>
  </si>
  <si>
    <t>Using vendor templates</t>
  </si>
  <si>
    <t>Finalize hotel options for the proposal</t>
  </si>
  <si>
    <t>Using hotel sheet template</t>
  </si>
  <si>
    <t>Complete and review the costing sheet and proposal</t>
  </si>
  <si>
    <t xml:space="preserve">Use formats </t>
  </si>
  <si>
    <t>Block all proposed hotels and guides</t>
  </si>
  <si>
    <t>Followup with client/sales on the proposal status to release or keep the blocks</t>
  </si>
  <si>
    <t>Proposal confirmation timeline could vary</t>
  </si>
  <si>
    <t>Action Items after proposal is won</t>
  </si>
  <si>
    <t>Sign contracts with hotels and DMCs</t>
  </si>
  <si>
    <t>Followup with client/sales on program confirmation date</t>
  </si>
  <si>
    <t>timeframe could vary</t>
  </si>
  <si>
    <t>Send deposit invoice to university</t>
  </si>
  <si>
    <t>Check proposal terms and conditions</t>
  </si>
  <si>
    <t>Create mastersheet</t>
  </si>
  <si>
    <t>Use template and fill information on an on-going basis</t>
  </si>
  <si>
    <t>Set up Monday.com/google sheet for collaboration with all university stakeholders</t>
  </si>
  <si>
    <t>Use participant data template #to client</t>
  </si>
  <si>
    <t>START FROM HERE</t>
  </si>
  <si>
    <t>Refer to India orientation PPT</t>
  </si>
  <si>
    <t xml:space="preserve">Prepare for in-person/online program orientation and safety briefing </t>
  </si>
  <si>
    <t>Send balance invoice to university</t>
  </si>
  <si>
    <t>Send final program services agreement</t>
  </si>
  <si>
    <t>Create and share pre-departure guide</t>
  </si>
  <si>
    <t>Refer to standard pre dep template</t>
  </si>
  <si>
    <t>NEW: Based on OSU budget change requests
Add this point to services agreement</t>
  </si>
  <si>
    <t>ENHANCED: Luggage specs, transit rules
Add this point to services agreement</t>
  </si>
  <si>
    <t>Refer to mastersheet for template</t>
  </si>
  <si>
    <t>Update the "post program invoice" tab in the mastersheet</t>
  </si>
  <si>
    <t>Send post program invoice to the university</t>
  </si>
  <si>
    <t>Brief them about Authentica standards</t>
  </si>
  <si>
    <t>Complete program orientation for guides and local partners</t>
  </si>
  <si>
    <t>Verify pre-program delivery checklist</t>
  </si>
  <si>
    <t>Refer template</t>
  </si>
  <si>
    <t>Get confirmation on final service requirements from university</t>
  </si>
  <si>
    <t>Confirm final group size, hotel blocks, transport, guides, meals, academic content and cultural immersions</t>
  </si>
  <si>
    <t>Block and sign contracts with chosen hotels and procure invoices with payment details</t>
  </si>
  <si>
    <t>As per updated numbers received from the university</t>
  </si>
  <si>
    <t>Collect rooming list from client and send it to hotels</t>
  </si>
  <si>
    <t>Ensure rooms are allocated as per requirement and sort out any issues with the rooms in discussion with the duty manager</t>
  </si>
  <si>
    <t>Book tickets (either with vendor or directly online) and share tickets with university</t>
  </si>
  <si>
    <t>Book dates of preferred guides (Directly or with DMC)</t>
  </si>
  <si>
    <t>Send draft itinerary to guides/DMC along with the academic objective briefing</t>
  </si>
  <si>
    <t>Confirm exact requirement from client (preferred venue location, purpose of meeting, group size, AV requirement, F&amp;B etc.)</t>
  </si>
  <si>
    <t>Identify, block and finalize venue</t>
  </si>
  <si>
    <t>Re-confirm exact requirements from university and share it with vendors</t>
  </si>
  <si>
    <t>Confirm requirement for each destination / specific visits or requirements (e.g. seatbelts, wheelchair acess etc.) and share with vendors/DMC</t>
  </si>
  <si>
    <t>Send transport/DMC itinerary to check about routes, timings or any specific requirements/issues</t>
  </si>
  <si>
    <t>Share arrival and departure schedule to university and share it with vendors/DMC</t>
  </si>
  <si>
    <t>As per the mastersheet template</t>
  </si>
  <si>
    <t>Send final itinerary and placard</t>
  </si>
  <si>
    <t>Share participant data template to collect information (including scanned passport copies)</t>
  </si>
  <si>
    <t>Post Program Action items</t>
  </si>
  <si>
    <t>Settle balance payments of all vendors</t>
  </si>
  <si>
    <t xml:space="preserve">Submit expense report to HQ </t>
  </si>
  <si>
    <t>Upload media to zoho drive</t>
  </si>
  <si>
    <t>Brief PDs/Content partners regarding program theme and requirements</t>
  </si>
  <si>
    <t>Finalize visits in discussion with the client and PDs</t>
  </si>
  <si>
    <t>Get logistical contacts from PDs at for each visit</t>
  </si>
  <si>
    <t>Co-ordinate with organizations about the visit (timings, address, meals, security protocols like passports, roster sheet, license plate)</t>
  </si>
  <si>
    <t>Send thank you notes to org contacts and collect feedback (if any)</t>
  </si>
  <si>
    <t>Plan and procure gifts for organization visits</t>
  </si>
  <si>
    <t>Projects for Internships</t>
  </si>
  <si>
    <t>Emergency budget activation protocols</t>
  </si>
  <si>
    <t>Use learnings template in Mastersheet</t>
  </si>
  <si>
    <t>Sid, Vedanth and VL</t>
  </si>
  <si>
    <t>Modified the list for specific action oriented goals. Separated action items Vs quality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</si>
</sst>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14009]dddd\,\ d\ mmmm\,\ yyyy;@"/>
    <numFmt numFmtId="166" formatCode="ddd\ dd\ mmm\ yyyy"/>
  </numFmts>
  <fonts count="26">
    <font>
      <sz val="11"/>
      <name val="Arial"/>
      <family val="1"/>
    </font>
    <font>
      <b/>
      <sz val="15"/>
      <name val="Muli"/>
    </font>
    <font>
      <sz val="11"/>
      <name val="Muli"/>
    </font>
    <font>
      <b/>
      <sz val="14"/>
      <color rgb="FF0086C0"/>
      <name val="Muli"/>
    </font>
    <font>
      <b/>
      <sz val="11"/>
      <color rgb="FF000000"/>
      <name val="Muli"/>
    </font>
    <font>
      <sz val="11"/>
      <color rgb="FFFFFFFF"/>
      <name val="Muli"/>
    </font>
    <font>
      <b/>
      <sz val="14"/>
      <color rgb="FFFF5AC4"/>
      <name val="Muli"/>
    </font>
    <font>
      <b/>
      <sz val="14"/>
      <color rgb="FF579BFC"/>
      <name val="Muli"/>
    </font>
    <font>
      <b/>
      <sz val="14"/>
      <color rgb="FFA25DDC"/>
      <name val="Muli"/>
    </font>
    <font>
      <b/>
      <sz val="14"/>
      <color rgb="FF00C875"/>
      <name val="Muli"/>
    </font>
    <font>
      <b/>
      <sz val="14"/>
      <color rgb="FF808080"/>
      <name val="Muli"/>
    </font>
    <font>
      <b/>
      <sz val="14"/>
      <color rgb="FFE2445C"/>
      <name val="Muli"/>
    </font>
    <font>
      <b/>
      <sz val="14"/>
      <color rgb="FFFF642E"/>
      <name val="Muli"/>
    </font>
    <font>
      <b/>
      <sz val="14"/>
      <color rgb="FFFFCB00"/>
      <name val="Muli"/>
    </font>
    <font>
      <b/>
      <sz val="14"/>
      <color rgb="FF9CD326"/>
      <name val="Muli"/>
    </font>
    <font>
      <sz val="10"/>
      <name val="Muli"/>
    </font>
    <font>
      <b/>
      <sz val="10"/>
      <name val="Muli"/>
    </font>
    <font>
      <b/>
      <sz val="11"/>
      <name val="Muli"/>
    </font>
    <font>
      <b/>
      <sz val="11"/>
      <color rgb="FFFFFFFF"/>
      <name val="Muli"/>
    </font>
    <font>
      <sz val="8"/>
      <name val="Arial"/>
      <family val="1"/>
    </font>
    <font>
      <b/>
      <sz val="14"/>
      <color theme="9"/>
      <name val="Muli"/>
    </font>
    <font>
      <sz val="14"/>
      <name val="Muli"/>
    </font>
    <font>
      <b/>
      <sz val="14"/>
      <color theme="5" tint="-0.249977111117893"/>
      <name val="Muli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Muli"/>
    </font>
  </fonts>
  <fills count="3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C4C4C4"/>
      </patternFill>
    </fill>
    <fill>
      <patternFill patternType="solid">
        <fgColor rgb="FF808080"/>
      </patternFill>
    </fill>
    <fill>
      <patternFill patternType="solid">
        <fgColor rgb="FF333333"/>
      </patternFill>
    </fill>
    <fill>
      <patternFill patternType="solid">
        <fgColor rgb="FFE2445C"/>
      </patternFill>
    </fill>
    <fill>
      <patternFill patternType="solid">
        <fgColor rgb="FFFFCB00"/>
      </patternFill>
    </fill>
    <fill>
      <patternFill patternType="solid">
        <fgColor rgb="FFFF158A"/>
      </patternFill>
    </fill>
    <fill>
      <patternFill patternType="solid">
        <fgColor rgb="FF784BD1"/>
      </patternFill>
    </fill>
    <fill>
      <patternFill patternType="solid">
        <fgColor rgb="FFFDAB3D"/>
      </patternFill>
    </fill>
    <fill>
      <patternFill patternType="solid">
        <fgColor rgb="FFA25DDC"/>
      </patternFill>
    </fill>
    <fill>
      <patternFill patternType="solid">
        <fgColor rgb="FFBB3354"/>
      </patternFill>
    </fill>
    <fill>
      <patternFill patternType="solid">
        <fgColor rgb="FF0086C0"/>
      </patternFill>
    </fill>
    <fill>
      <patternFill patternType="solid">
        <fgColor rgb="FF66CCFF"/>
      </patternFill>
    </fill>
    <fill>
      <patternFill patternType="solid">
        <fgColor rgb="FF9CD326"/>
      </patternFill>
    </fill>
    <fill>
      <patternFill patternType="solid">
        <fgColor rgb="FF037F4C"/>
      </patternFill>
    </fill>
    <fill>
      <patternFill patternType="solid">
        <fgColor rgb="FFCAB641"/>
      </patternFill>
    </fill>
    <fill>
      <patternFill patternType="solid">
        <fgColor rgb="FFFF5AC4"/>
      </patternFill>
    </fill>
    <fill>
      <patternFill patternType="solid">
        <fgColor rgb="FFFF642E"/>
      </patternFill>
    </fill>
    <fill>
      <patternFill patternType="solid">
        <fgColor rgb="FF00C875"/>
      </patternFill>
    </fill>
    <fill>
      <patternFill patternType="solid">
        <fgColor rgb="FF7F5347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5" fontId="4" fillId="2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165" fontId="5" fillId="10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vertical="center"/>
    </xf>
    <xf numFmtId="165" fontId="5" fillId="11" borderId="1" xfId="0" applyNumberFormat="1" applyFont="1" applyFill="1" applyBorder="1" applyAlignment="1">
      <alignment horizontal="center" vertical="center"/>
    </xf>
    <xf numFmtId="165" fontId="5" fillId="12" borderId="1" xfId="0" applyNumberFormat="1" applyFont="1" applyFill="1" applyBorder="1" applyAlignment="1">
      <alignment horizontal="center" vertical="center"/>
    </xf>
    <xf numFmtId="165" fontId="5" fillId="13" borderId="1" xfId="0" applyNumberFormat="1" applyFont="1" applyFill="1" applyBorder="1" applyAlignment="1">
      <alignment horizontal="center" vertical="center"/>
    </xf>
    <xf numFmtId="165" fontId="5" fillId="14" borderId="1" xfId="0" applyNumberFormat="1" applyFont="1" applyFill="1" applyBorder="1" applyAlignment="1">
      <alignment horizontal="center" vertical="center"/>
    </xf>
    <xf numFmtId="165" fontId="5" fillId="15" borderId="1" xfId="0" applyNumberFormat="1" applyFont="1" applyFill="1" applyBorder="1" applyAlignment="1">
      <alignment horizontal="center" vertical="center"/>
    </xf>
    <xf numFmtId="165" fontId="5" fillId="16" borderId="1" xfId="0" applyNumberFormat="1" applyFont="1" applyFill="1" applyBorder="1" applyAlignment="1">
      <alignment horizontal="center" vertical="center"/>
    </xf>
    <xf numFmtId="165" fontId="5" fillId="17" borderId="1" xfId="0" applyNumberFormat="1" applyFont="1" applyFill="1" applyBorder="1" applyAlignment="1">
      <alignment horizontal="center" vertical="center"/>
    </xf>
    <xf numFmtId="165" fontId="5" fillId="18" borderId="1" xfId="0" applyNumberFormat="1" applyFont="1" applyFill="1" applyBorder="1" applyAlignment="1">
      <alignment horizontal="center" vertical="center"/>
    </xf>
    <xf numFmtId="165" fontId="5" fillId="19" borderId="1" xfId="0" applyNumberFormat="1" applyFont="1" applyFill="1" applyBorder="1" applyAlignment="1">
      <alignment horizontal="center" vertical="center"/>
    </xf>
    <xf numFmtId="165" fontId="5" fillId="20" borderId="1" xfId="0" applyNumberFormat="1" applyFont="1" applyFill="1" applyBorder="1" applyAlignment="1">
      <alignment horizontal="center" vertical="center"/>
    </xf>
    <xf numFmtId="165" fontId="5" fillId="21" borderId="1" xfId="0" applyNumberFormat="1" applyFont="1" applyFill="1" applyBorder="1" applyAlignment="1">
      <alignment horizontal="center" vertical="center"/>
    </xf>
    <xf numFmtId="165" fontId="5" fillId="22" borderId="1" xfId="0" applyNumberFormat="1" applyFont="1" applyFill="1" applyBorder="1" applyAlignment="1">
      <alignment horizontal="center" vertical="center"/>
    </xf>
    <xf numFmtId="165" fontId="5" fillId="23" borderId="1" xfId="0" applyNumberFormat="1" applyFont="1" applyFill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165" fontId="15" fillId="2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165" fontId="18" fillId="7" borderId="1" xfId="0" applyNumberFormat="1" applyFont="1" applyFill="1" applyBorder="1" applyAlignment="1">
      <alignment horizontal="center" vertical="center"/>
    </xf>
    <xf numFmtId="165" fontId="18" fillId="13" borderId="1" xfId="0" applyNumberFormat="1" applyFont="1" applyFill="1" applyBorder="1" applyAlignment="1">
      <alignment horizontal="center" vertical="center"/>
    </xf>
    <xf numFmtId="165" fontId="18" fillId="14" borderId="1" xfId="0" applyNumberFormat="1" applyFont="1" applyFill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1" xfId="0" applyFont="1" applyBorder="1" applyAlignment="1">
      <alignment vertical="center" wrapText="1"/>
    </xf>
    <xf numFmtId="165" fontId="17" fillId="25" borderId="1" xfId="0" applyNumberFormat="1" applyFont="1" applyFill="1" applyBorder="1" applyAlignment="1">
      <alignment horizontal="center" vertical="center"/>
    </xf>
    <xf numFmtId="165" fontId="17" fillId="26" borderId="1" xfId="0" applyNumberFormat="1" applyFont="1" applyFill="1" applyBorder="1" applyAlignment="1">
      <alignment horizontal="center" vertical="center"/>
    </xf>
    <xf numFmtId="165" fontId="17" fillId="27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18" fillId="15" borderId="1" xfId="0" applyNumberFormat="1" applyFont="1" applyFill="1" applyBorder="1" applyAlignment="1">
      <alignment horizontal="center" vertical="center"/>
    </xf>
    <xf numFmtId="165" fontId="18" fillId="16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165" fontId="17" fillId="0" borderId="1" xfId="0" applyNumberFormat="1" applyFont="1" applyBorder="1" applyAlignment="1">
      <alignment vertical="center"/>
    </xf>
    <xf numFmtId="165" fontId="17" fillId="28" borderId="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165" fontId="17" fillId="0" borderId="0" xfId="0" applyNumberFormat="1" applyFont="1" applyAlignment="1">
      <alignment vertical="center"/>
    </xf>
    <xf numFmtId="165" fontId="17" fillId="30" borderId="1" xfId="0" applyNumberFormat="1" applyFont="1" applyFill="1" applyBorder="1" applyAlignment="1">
      <alignment horizontal="center" vertical="center"/>
    </xf>
    <xf numFmtId="165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65" fontId="17" fillId="29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65" fontId="18" fillId="8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165" fontId="18" fillId="31" borderId="1" xfId="0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166" fontId="4" fillId="2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center" vertical="center"/>
    </xf>
    <xf numFmtId="166" fontId="18" fillId="7" borderId="1" xfId="0" applyNumberFormat="1" applyFont="1" applyFill="1" applyBorder="1" applyAlignment="1">
      <alignment horizontal="center" vertical="center"/>
    </xf>
    <xf numFmtId="166" fontId="18" fillId="8" borderId="1" xfId="0" applyNumberFormat="1" applyFont="1" applyFill="1" applyBorder="1" applyAlignment="1">
      <alignment horizontal="center" vertical="center"/>
    </xf>
    <xf numFmtId="166" fontId="5" fillId="8" borderId="1" xfId="0" applyNumberFormat="1" applyFont="1" applyFill="1" applyBorder="1" applyAlignment="1">
      <alignment horizontal="center" vertical="center"/>
    </xf>
    <xf numFmtId="166" fontId="5" fillId="9" borderId="1" xfId="0" applyNumberFormat="1" applyFont="1" applyFill="1" applyBorder="1" applyAlignment="1">
      <alignment horizontal="center" vertical="center"/>
    </xf>
    <xf numFmtId="166" fontId="5" fillId="10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vertical="center"/>
    </xf>
    <xf numFmtId="166" fontId="5" fillId="11" borderId="1" xfId="0" applyNumberFormat="1" applyFont="1" applyFill="1" applyBorder="1" applyAlignment="1">
      <alignment horizontal="center" vertical="center"/>
    </xf>
    <xf numFmtId="166" fontId="5" fillId="12" borderId="1" xfId="0" applyNumberFormat="1" applyFont="1" applyFill="1" applyBorder="1" applyAlignment="1">
      <alignment horizontal="center" vertical="center"/>
    </xf>
    <xf numFmtId="166" fontId="18" fillId="13" borderId="1" xfId="0" applyNumberFormat="1" applyFont="1" applyFill="1" applyBorder="1" applyAlignment="1">
      <alignment horizontal="center" vertical="center"/>
    </xf>
    <xf numFmtId="166" fontId="5" fillId="13" borderId="1" xfId="0" applyNumberFormat="1" applyFont="1" applyFill="1" applyBorder="1" applyAlignment="1">
      <alignment horizontal="center" vertical="center"/>
    </xf>
    <xf numFmtId="166" fontId="5" fillId="14" borderId="1" xfId="0" applyNumberFormat="1" applyFont="1" applyFill="1" applyBorder="1" applyAlignment="1">
      <alignment horizontal="center" vertical="center"/>
    </xf>
    <xf numFmtId="166" fontId="18" fillId="14" borderId="1" xfId="0" applyNumberFormat="1" applyFont="1" applyFill="1" applyBorder="1" applyAlignment="1">
      <alignment horizontal="center" vertical="center"/>
    </xf>
    <xf numFmtId="166" fontId="5" fillId="15" borderId="1" xfId="0" applyNumberFormat="1" applyFont="1" applyFill="1" applyBorder="1" applyAlignment="1">
      <alignment horizontal="center" vertical="center"/>
    </xf>
    <xf numFmtId="166" fontId="5" fillId="16" borderId="1" xfId="0" applyNumberFormat="1" applyFont="1" applyFill="1" applyBorder="1" applyAlignment="1">
      <alignment horizontal="center" vertical="center"/>
    </xf>
    <xf numFmtId="166" fontId="5" fillId="17" borderId="1" xfId="0" applyNumberFormat="1" applyFont="1" applyFill="1" applyBorder="1" applyAlignment="1">
      <alignment horizontal="center" vertical="center"/>
    </xf>
    <xf numFmtId="166" fontId="5" fillId="18" borderId="1" xfId="0" applyNumberFormat="1" applyFont="1" applyFill="1" applyBorder="1" applyAlignment="1">
      <alignment horizontal="center" vertical="center"/>
    </xf>
    <xf numFmtId="166" fontId="5" fillId="19" borderId="1" xfId="0" applyNumberFormat="1" applyFont="1" applyFill="1" applyBorder="1" applyAlignment="1">
      <alignment horizontal="center" vertical="center"/>
    </xf>
    <xf numFmtId="166" fontId="17" fillId="25" borderId="1" xfId="0" applyNumberFormat="1" applyFont="1" applyFill="1" applyBorder="1" applyAlignment="1">
      <alignment horizontal="center" vertical="center"/>
    </xf>
    <xf numFmtId="166" fontId="17" fillId="26" borderId="1" xfId="0" applyNumberFormat="1" applyFont="1" applyFill="1" applyBorder="1" applyAlignment="1">
      <alignment horizontal="center" vertical="center"/>
    </xf>
    <xf numFmtId="166" fontId="17" fillId="27" borderId="1" xfId="0" applyNumberFormat="1" applyFont="1" applyFill="1" applyBorder="1" applyAlignment="1">
      <alignment horizontal="center" vertical="center"/>
    </xf>
    <xf numFmtId="166" fontId="18" fillId="15" borderId="1" xfId="0" applyNumberFormat="1" applyFont="1" applyFill="1" applyBorder="1" applyAlignment="1">
      <alignment horizontal="center" vertical="center"/>
    </xf>
    <xf numFmtId="166" fontId="18" fillId="16" borderId="1" xfId="0" applyNumberFormat="1" applyFont="1" applyFill="1" applyBorder="1" applyAlignment="1">
      <alignment horizontal="center" vertical="center"/>
    </xf>
    <xf numFmtId="166" fontId="18" fillId="31" borderId="1" xfId="0" applyNumberFormat="1" applyFont="1" applyFill="1" applyBorder="1" applyAlignment="1">
      <alignment horizontal="center" vertical="center"/>
    </xf>
    <xf numFmtId="166" fontId="17" fillId="0" borderId="1" xfId="0" applyNumberFormat="1" applyFont="1" applyBorder="1" applyAlignment="1">
      <alignment vertical="center"/>
    </xf>
    <xf numFmtId="166" fontId="5" fillId="20" borderId="1" xfId="0" applyNumberFormat="1" applyFont="1" applyFill="1" applyBorder="1" applyAlignment="1">
      <alignment horizontal="center" vertical="center"/>
    </xf>
    <xf numFmtId="166" fontId="5" fillId="21" borderId="1" xfId="0" applyNumberFormat="1" applyFont="1" applyFill="1" applyBorder="1" applyAlignment="1">
      <alignment horizontal="center" vertical="center"/>
    </xf>
    <xf numFmtId="166" fontId="5" fillId="22" borderId="1" xfId="0" applyNumberFormat="1" applyFont="1" applyFill="1" applyBorder="1" applyAlignment="1">
      <alignment horizontal="center" vertical="center"/>
    </xf>
    <xf numFmtId="166" fontId="5" fillId="23" borderId="1" xfId="0" applyNumberFormat="1" applyFont="1" applyFill="1" applyBorder="1" applyAlignment="1">
      <alignment horizontal="center" vertical="center"/>
    </xf>
    <xf numFmtId="166" fontId="17" fillId="28" borderId="1" xfId="0" applyNumberFormat="1" applyFont="1" applyFill="1" applyBorder="1" applyAlignment="1">
      <alignment horizontal="center" vertical="center"/>
    </xf>
    <xf numFmtId="166" fontId="21" fillId="0" borderId="0" xfId="0" applyNumberFormat="1" applyFont="1" applyAlignment="1">
      <alignment vertical="center"/>
    </xf>
    <xf numFmtId="166" fontId="17" fillId="30" borderId="1" xfId="0" applyNumberFormat="1" applyFont="1" applyFill="1" applyBorder="1" applyAlignment="1">
      <alignment horizontal="center" vertical="center"/>
    </xf>
    <xf numFmtId="166" fontId="17" fillId="29" borderId="1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vertical="center"/>
    </xf>
    <xf numFmtId="166" fontId="17" fillId="0" borderId="1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165" fontId="15" fillId="24" borderId="6" xfId="0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vertical="center" wrapText="1"/>
    </xf>
    <xf numFmtId="0" fontId="15" fillId="0" borderId="7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165" fontId="15" fillId="24" borderId="8" xfId="0" applyNumberFormat="1" applyFont="1" applyFill="1" applyBorder="1" applyAlignment="1">
      <alignment horizontal="center" vertical="center"/>
    </xf>
    <xf numFmtId="165" fontId="15" fillId="24" borderId="9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65" fontId="2" fillId="25" borderId="1" xfId="0" applyNumberFormat="1" applyFont="1" applyFill="1" applyBorder="1" applyAlignment="1">
      <alignment horizontal="center" vertical="center"/>
    </xf>
    <xf numFmtId="166" fontId="2" fillId="2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25" fillId="32" borderId="10" xfId="0" applyFont="1" applyFill="1" applyBorder="1" applyAlignment="1">
      <alignment horizontal="center" vertical="center"/>
    </xf>
    <xf numFmtId="0" fontId="25" fillId="32" borderId="11" xfId="0" applyFont="1" applyFill="1" applyBorder="1" applyAlignment="1">
      <alignment horizontal="center" vertical="center"/>
    </xf>
    <xf numFmtId="0" fontId="25" fillId="3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17C4-5FA3-4049-8F81-2C06CF02854E}">
  <dimension ref="A1:E14"/>
  <sheetViews>
    <sheetView showGridLines="0" tabSelected="1" topLeftCell="A2" zoomScale="115" zoomScaleNormal="115" workbookViewId="0">
      <selection activeCell="C13" sqref="C13"/>
    </sheetView>
  </sheetViews>
  <sheetFormatPr defaultColWidth="8.75" defaultRowHeight="12.75"/>
  <cols>
    <col min="1" max="1" width="8.75" style="12"/>
    <col min="2" max="2" width="71.25" style="12" bestFit="1" customWidth="1"/>
    <col min="3" max="3" width="24.875" style="12" customWidth="1"/>
    <col min="4" max="5" width="34" style="12" bestFit="1" customWidth="1"/>
    <col min="6" max="16384" width="8.75" style="12"/>
  </cols>
  <sheetData>
    <row r="1" spans="1:5">
      <c r="A1" s="12" t="s">
        <v>113</v>
      </c>
    </row>
    <row r="2" spans="1:5">
      <c r="A2" s="12" t="s">
        <v>114</v>
      </c>
    </row>
    <row r="3" spans="1:5" ht="13.5" thickBot="1"/>
    <row r="4" spans="1:5">
      <c r="A4" s="120" t="s">
        <v>132</v>
      </c>
      <c r="B4" s="121" t="s">
        <v>133</v>
      </c>
      <c r="C4" s="121" t="s">
        <v>136</v>
      </c>
      <c r="D4" s="122" t="s">
        <v>3</v>
      </c>
      <c r="E4" s="122" t="s">
        <v>273</v>
      </c>
    </row>
    <row r="5" spans="1:5">
      <c r="A5" s="123" t="s">
        <v>115</v>
      </c>
      <c r="B5" s="13" t="s">
        <v>116</v>
      </c>
      <c r="C5" s="44">
        <v>46082</v>
      </c>
      <c r="D5" s="124" t="s">
        <v>156</v>
      </c>
      <c r="E5" s="124" t="s">
        <v>274</v>
      </c>
    </row>
    <row r="6" spans="1:5">
      <c r="A6" s="123" t="s">
        <v>117</v>
      </c>
      <c r="B6" s="13" t="s">
        <v>118</v>
      </c>
      <c r="C6" s="45"/>
      <c r="D6" s="125"/>
      <c r="E6" s="125"/>
    </row>
    <row r="7" spans="1:5" ht="25.5">
      <c r="A7" s="123" t="s">
        <v>119</v>
      </c>
      <c r="B7" s="13" t="s">
        <v>120</v>
      </c>
      <c r="C7" s="44">
        <f>$C$5+14</f>
        <v>46096</v>
      </c>
      <c r="D7" s="126" t="s">
        <v>155</v>
      </c>
      <c r="E7" s="126" t="s">
        <v>274</v>
      </c>
    </row>
    <row r="8" spans="1:5">
      <c r="A8" s="123" t="s">
        <v>121</v>
      </c>
      <c r="B8" s="13" t="s">
        <v>122</v>
      </c>
      <c r="C8" s="45"/>
      <c r="D8" s="125"/>
      <c r="E8" s="125"/>
    </row>
    <row r="9" spans="1:5">
      <c r="A9" s="123" t="s">
        <v>123</v>
      </c>
      <c r="B9" s="13" t="s">
        <v>137</v>
      </c>
      <c r="C9" s="44">
        <v>46101</v>
      </c>
      <c r="D9" s="124" t="s">
        <v>157</v>
      </c>
      <c r="E9" s="124" t="s">
        <v>277</v>
      </c>
    </row>
    <row r="10" spans="1:5">
      <c r="A10" s="123" t="s">
        <v>124</v>
      </c>
      <c r="B10" s="13" t="s">
        <v>125</v>
      </c>
      <c r="C10" s="45"/>
      <c r="D10" s="125"/>
      <c r="E10" s="125"/>
    </row>
    <row r="11" spans="1:5">
      <c r="A11" s="123" t="s">
        <v>126</v>
      </c>
      <c r="B11" s="13" t="s">
        <v>127</v>
      </c>
      <c r="C11" s="44">
        <v>46130</v>
      </c>
      <c r="D11" s="124" t="s">
        <v>158</v>
      </c>
      <c r="E11" s="124" t="s">
        <v>275</v>
      </c>
    </row>
    <row r="12" spans="1:5">
      <c r="A12" s="123" t="s">
        <v>161</v>
      </c>
      <c r="B12" s="13" t="s">
        <v>162</v>
      </c>
      <c r="C12" s="44">
        <v>46234</v>
      </c>
      <c r="D12" s="124" t="s">
        <v>163</v>
      </c>
      <c r="E12" s="124" t="s">
        <v>275</v>
      </c>
    </row>
    <row r="13" spans="1:5">
      <c r="A13" s="123" t="s">
        <v>128</v>
      </c>
      <c r="B13" s="13" t="s">
        <v>129</v>
      </c>
      <c r="C13" s="45"/>
      <c r="D13" s="125"/>
      <c r="E13" s="125"/>
    </row>
    <row r="14" spans="1:5" ht="13.5" thickBot="1">
      <c r="A14" s="127" t="s">
        <v>130</v>
      </c>
      <c r="B14" s="128" t="s">
        <v>131</v>
      </c>
      <c r="C14" s="129"/>
      <c r="D14" s="130"/>
      <c r="E14" s="1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3"/>
  <sheetViews>
    <sheetView showGridLines="0" showOutlineSymbols="0" showWhiteSpace="0" zoomScale="85" zoomScaleNormal="85" workbookViewId="0">
      <selection activeCell="A22" sqref="A22"/>
    </sheetView>
  </sheetViews>
  <sheetFormatPr defaultColWidth="8.75" defaultRowHeight="14.25"/>
  <cols>
    <col min="1" max="1" width="96.75" style="14" customWidth="1"/>
    <col min="2" max="2" width="28.25" style="22" bestFit="1" customWidth="1"/>
    <col min="3" max="3" width="17.375" style="81" bestFit="1" customWidth="1"/>
    <col min="4" max="4" width="17.375" style="81" customWidth="1"/>
    <col min="5" max="5" width="58.25" style="47" bestFit="1" customWidth="1"/>
    <col min="6" max="6" width="13.25" style="14" bestFit="1" customWidth="1"/>
    <col min="7" max="7" width="18.125" style="14" bestFit="1" customWidth="1"/>
    <col min="8" max="8" width="21.375" style="14" bestFit="1" customWidth="1"/>
    <col min="9" max="16384" width="8.75" style="14"/>
  </cols>
  <sheetData>
    <row r="1" spans="1:8" ht="40.15" customHeight="1">
      <c r="A1" s="1" t="s">
        <v>134</v>
      </c>
    </row>
    <row r="2" spans="1:8" ht="19.899999999999999" customHeight="1">
      <c r="A2" s="14" t="s">
        <v>0</v>
      </c>
      <c r="B2" s="22" t="s">
        <v>0</v>
      </c>
      <c r="C2" s="81" t="s">
        <v>0</v>
      </c>
      <c r="E2" s="47" t="s">
        <v>0</v>
      </c>
      <c r="F2" s="14" t="s">
        <v>0</v>
      </c>
      <c r="G2" s="14" t="s">
        <v>0</v>
      </c>
    </row>
    <row r="3" spans="1:8" ht="19.899999999999999" customHeight="1">
      <c r="A3" s="2" t="s">
        <v>1</v>
      </c>
    </row>
    <row r="4" spans="1:8" ht="19.899999999999999" customHeight="1">
      <c r="A4" s="15" t="s">
        <v>2</v>
      </c>
      <c r="B4" s="23" t="s">
        <v>135</v>
      </c>
      <c r="C4" s="82" t="s">
        <v>135</v>
      </c>
      <c r="D4" s="82" t="s">
        <v>273</v>
      </c>
      <c r="E4" s="16" t="s">
        <v>3</v>
      </c>
      <c r="F4" s="16" t="s">
        <v>4</v>
      </c>
      <c r="G4" s="16" t="s">
        <v>5</v>
      </c>
      <c r="H4" s="16" t="s">
        <v>6</v>
      </c>
    </row>
    <row r="5" spans="1:8" ht="19.899999999999999" customHeight="1">
      <c r="A5" s="17" t="s">
        <v>7</v>
      </c>
      <c r="B5" s="24" t="s">
        <v>177</v>
      </c>
      <c r="C5" s="83">
        <f>Legend!$C$5</f>
        <v>46082</v>
      </c>
      <c r="D5" s="83" t="s">
        <v>274</v>
      </c>
      <c r="E5" s="18" t="s">
        <v>0</v>
      </c>
      <c r="F5" s="18" t="s">
        <v>0</v>
      </c>
      <c r="G5" s="19" t="s">
        <v>0</v>
      </c>
      <c r="H5" s="19" t="s">
        <v>0</v>
      </c>
    </row>
    <row r="6" spans="1:8" ht="19.899999999999999" customHeight="1">
      <c r="A6" s="17" t="s">
        <v>8</v>
      </c>
      <c r="B6" s="25" t="s">
        <v>178</v>
      </c>
      <c r="C6" s="84">
        <f>Legend!$C$5+1</f>
        <v>46083</v>
      </c>
      <c r="D6" s="84" t="s">
        <v>274</v>
      </c>
      <c r="E6" s="18" t="s">
        <v>0</v>
      </c>
      <c r="F6" s="18" t="s">
        <v>0</v>
      </c>
      <c r="G6" s="19" t="s">
        <v>0</v>
      </c>
      <c r="H6" s="19" t="s">
        <v>0</v>
      </c>
    </row>
    <row r="7" spans="1:8" ht="19.899999999999999" customHeight="1">
      <c r="A7" s="17" t="s">
        <v>9</v>
      </c>
      <c r="B7" s="25" t="s">
        <v>178</v>
      </c>
      <c r="C7" s="84">
        <f>Legend!$C$5+1</f>
        <v>46083</v>
      </c>
      <c r="D7" s="84" t="s">
        <v>274</v>
      </c>
      <c r="E7" s="18" t="s">
        <v>0</v>
      </c>
      <c r="F7" s="18" t="s">
        <v>0</v>
      </c>
      <c r="G7" s="19" t="s">
        <v>0</v>
      </c>
      <c r="H7" s="19" t="s">
        <v>0</v>
      </c>
    </row>
    <row r="8" spans="1:8" ht="19.899999999999999" customHeight="1">
      <c r="A8" s="17" t="s">
        <v>10</v>
      </c>
      <c r="B8" s="26" t="s">
        <v>179</v>
      </c>
      <c r="C8" s="85">
        <f>Legend!$C$5+7</f>
        <v>46089</v>
      </c>
      <c r="D8" s="85" t="s">
        <v>274</v>
      </c>
      <c r="E8" s="18" t="s">
        <v>0</v>
      </c>
      <c r="F8" s="18" t="s">
        <v>0</v>
      </c>
      <c r="G8" s="19" t="s">
        <v>0</v>
      </c>
      <c r="H8" s="19" t="s">
        <v>0</v>
      </c>
    </row>
    <row r="9" spans="1:8" ht="19.899999999999999" customHeight="1">
      <c r="A9" s="17" t="s">
        <v>11</v>
      </c>
      <c r="B9" s="26" t="s">
        <v>179</v>
      </c>
      <c r="C9" s="85">
        <f>Legend!$C$5+7</f>
        <v>46089</v>
      </c>
      <c r="D9" s="85" t="s">
        <v>274</v>
      </c>
      <c r="E9" s="18"/>
      <c r="F9" s="18" t="s">
        <v>0</v>
      </c>
      <c r="G9" s="19" t="s">
        <v>0</v>
      </c>
      <c r="H9" s="19" t="s">
        <v>0</v>
      </c>
    </row>
    <row r="10" spans="1:8" ht="19.899999999999999" customHeight="1">
      <c r="A10" s="50" t="s">
        <v>173</v>
      </c>
      <c r="B10" s="51" t="s">
        <v>179</v>
      </c>
      <c r="C10" s="86">
        <f>Legend!$C$5+7</f>
        <v>46089</v>
      </c>
      <c r="D10" s="86" t="s">
        <v>274</v>
      </c>
      <c r="E10" s="48" t="s">
        <v>175</v>
      </c>
      <c r="F10" s="18"/>
      <c r="G10" s="19"/>
      <c r="H10" s="19"/>
    </row>
    <row r="11" spans="1:8" ht="19.899999999999999" customHeight="1">
      <c r="A11" s="50" t="s">
        <v>174</v>
      </c>
      <c r="B11" s="51" t="s">
        <v>179</v>
      </c>
      <c r="C11" s="86">
        <f>Legend!$C$5+7</f>
        <v>46089</v>
      </c>
      <c r="D11" s="86" t="s">
        <v>274</v>
      </c>
      <c r="E11" s="48" t="s">
        <v>176</v>
      </c>
      <c r="F11" s="18"/>
      <c r="G11" s="19"/>
      <c r="H11" s="19"/>
    </row>
    <row r="12" spans="1:8" ht="19.899999999999999" customHeight="1">
      <c r="A12" s="17" t="s">
        <v>12</v>
      </c>
      <c r="B12" s="26" t="s">
        <v>179</v>
      </c>
      <c r="C12" s="85">
        <f>Legend!$C$5+7</f>
        <v>46089</v>
      </c>
      <c r="D12" s="85" t="s">
        <v>274</v>
      </c>
      <c r="E12" s="18" t="s">
        <v>0</v>
      </c>
      <c r="F12" s="18" t="s">
        <v>0</v>
      </c>
      <c r="G12" s="19" t="s">
        <v>0</v>
      </c>
      <c r="H12" s="19" t="s">
        <v>0</v>
      </c>
    </row>
    <row r="13" spans="1:8" s="55" customFormat="1" ht="19.899999999999999" customHeight="1">
      <c r="A13" s="50" t="s">
        <v>270</v>
      </c>
      <c r="B13" s="78" t="s">
        <v>180</v>
      </c>
      <c r="C13" s="87">
        <f>Legend!$C$7-1</f>
        <v>46095</v>
      </c>
      <c r="D13" s="87" t="s">
        <v>274</v>
      </c>
      <c r="E13" s="79" t="s">
        <v>271</v>
      </c>
      <c r="F13" s="48"/>
      <c r="G13" s="54"/>
      <c r="H13" s="54"/>
    </row>
    <row r="14" spans="1:8" ht="19.899999999999999" customHeight="1">
      <c r="A14" s="17" t="s">
        <v>13</v>
      </c>
      <c r="B14" s="27" t="s">
        <v>180</v>
      </c>
      <c r="C14" s="88">
        <f>Legend!$C$7-1</f>
        <v>46095</v>
      </c>
      <c r="D14" s="88" t="s">
        <v>274</v>
      </c>
      <c r="E14" s="18" t="s">
        <v>0</v>
      </c>
      <c r="F14" s="18" t="s">
        <v>0</v>
      </c>
      <c r="G14" s="19" t="s">
        <v>0</v>
      </c>
      <c r="H14" s="19" t="s">
        <v>0</v>
      </c>
    </row>
    <row r="15" spans="1:8" ht="19.899999999999999" customHeight="1">
      <c r="A15" s="17" t="s">
        <v>14</v>
      </c>
      <c r="B15" s="28" t="s">
        <v>188</v>
      </c>
      <c r="C15" s="89">
        <f>Legend!$C$7</f>
        <v>46096</v>
      </c>
      <c r="D15" s="89" t="s">
        <v>274</v>
      </c>
      <c r="E15" s="18" t="s">
        <v>138</v>
      </c>
      <c r="F15" s="18" t="s">
        <v>0</v>
      </c>
      <c r="G15" s="19" t="s">
        <v>0</v>
      </c>
      <c r="H15" s="19" t="s">
        <v>0</v>
      </c>
    </row>
    <row r="16" spans="1:8" ht="19.899999999999999" customHeight="1">
      <c r="A16" s="17" t="s">
        <v>15</v>
      </c>
      <c r="B16" s="29" t="s">
        <v>189</v>
      </c>
      <c r="C16" s="90">
        <f>Legend!$C$7+15</f>
        <v>46111</v>
      </c>
      <c r="D16" s="90" t="s">
        <v>274</v>
      </c>
      <c r="E16" s="18" t="s">
        <v>16</v>
      </c>
      <c r="F16" s="18" t="s">
        <v>0</v>
      </c>
      <c r="G16" s="19" t="s">
        <v>0</v>
      </c>
      <c r="H16" s="19" t="s">
        <v>0</v>
      </c>
    </row>
    <row r="17" spans="1:8" ht="19.899999999999999" customHeight="1">
      <c r="A17" s="20" t="s">
        <v>0</v>
      </c>
      <c r="B17" s="30" t="s">
        <v>0</v>
      </c>
      <c r="C17" s="91" t="s">
        <v>0</v>
      </c>
      <c r="D17" s="91"/>
      <c r="E17" s="18" t="s">
        <v>0</v>
      </c>
      <c r="F17" s="20" t="s">
        <v>0</v>
      </c>
      <c r="G17" s="60"/>
      <c r="H17" s="60"/>
    </row>
    <row r="19" spans="1:8" ht="19.899999999999999" customHeight="1">
      <c r="A19" s="3" t="s">
        <v>17</v>
      </c>
    </row>
    <row r="20" spans="1:8" ht="19.899999999999999" customHeight="1">
      <c r="A20" s="15" t="s">
        <v>2</v>
      </c>
      <c r="B20" s="23" t="s">
        <v>135</v>
      </c>
      <c r="C20" s="82" t="s">
        <v>135</v>
      </c>
      <c r="D20" s="82" t="s">
        <v>273</v>
      </c>
      <c r="E20" s="16" t="s">
        <v>3</v>
      </c>
      <c r="F20" s="16" t="s">
        <v>4</v>
      </c>
      <c r="G20" s="16" t="s">
        <v>5</v>
      </c>
      <c r="H20" s="16" t="s">
        <v>6</v>
      </c>
    </row>
    <row r="21" spans="1:8" ht="19.899999999999999" customHeight="1">
      <c r="A21" s="17" t="s">
        <v>139</v>
      </c>
      <c r="B21" s="31" t="s">
        <v>205</v>
      </c>
      <c r="C21" s="92">
        <f>Legend!$C$11-90</f>
        <v>46040</v>
      </c>
      <c r="D21" s="92" t="s">
        <v>277</v>
      </c>
      <c r="E21" s="18" t="s">
        <v>0</v>
      </c>
      <c r="F21" s="18" t="s">
        <v>0</v>
      </c>
      <c r="G21" s="19" t="s">
        <v>0</v>
      </c>
      <c r="H21" s="19" t="s">
        <v>0</v>
      </c>
    </row>
    <row r="22" spans="1:8" ht="19.899999999999999" customHeight="1">
      <c r="A22" s="17" t="s">
        <v>18</v>
      </c>
      <c r="B22" s="32" t="s">
        <v>206</v>
      </c>
      <c r="C22" s="93">
        <f>Legend!$C$9+1</f>
        <v>46102</v>
      </c>
      <c r="D22" s="93" t="s">
        <v>277</v>
      </c>
      <c r="E22" s="18" t="s">
        <v>0</v>
      </c>
      <c r="F22" s="18" t="s">
        <v>0</v>
      </c>
      <c r="G22" s="19" t="s">
        <v>0</v>
      </c>
      <c r="H22" s="19" t="s">
        <v>0</v>
      </c>
    </row>
    <row r="23" spans="1:8" ht="19.899999999999999" customHeight="1">
      <c r="A23" s="50" t="s">
        <v>181</v>
      </c>
      <c r="B23" s="52" t="s">
        <v>183</v>
      </c>
      <c r="C23" s="94">
        <f>Legend!$C$9+3</f>
        <v>46104</v>
      </c>
      <c r="D23" s="94" t="s">
        <v>277</v>
      </c>
      <c r="E23" s="48" t="s">
        <v>182</v>
      </c>
      <c r="F23" s="18"/>
      <c r="G23" s="19"/>
      <c r="H23" s="19"/>
    </row>
    <row r="24" spans="1:8" ht="19.899999999999999" customHeight="1">
      <c r="A24" s="50" t="s">
        <v>184</v>
      </c>
      <c r="B24" s="52" t="s">
        <v>183</v>
      </c>
      <c r="C24" s="94">
        <f>Legend!$C$9+3</f>
        <v>46104</v>
      </c>
      <c r="D24" s="94" t="s">
        <v>277</v>
      </c>
      <c r="E24" s="48" t="s">
        <v>182</v>
      </c>
      <c r="F24" s="18"/>
      <c r="G24" s="19"/>
      <c r="H24" s="19"/>
    </row>
    <row r="25" spans="1:8" ht="19.899999999999999" customHeight="1">
      <c r="A25" s="17" t="s">
        <v>19</v>
      </c>
      <c r="B25" s="33" t="s">
        <v>207</v>
      </c>
      <c r="C25" s="95">
        <f>Legend!$C$9+7</f>
        <v>46108</v>
      </c>
      <c r="D25" s="95" t="s">
        <v>277</v>
      </c>
      <c r="E25" s="18" t="s">
        <v>0</v>
      </c>
      <c r="F25" s="18" t="s">
        <v>0</v>
      </c>
      <c r="G25" s="19" t="s">
        <v>0</v>
      </c>
      <c r="H25" s="19" t="s">
        <v>0</v>
      </c>
    </row>
    <row r="26" spans="1:8" ht="19.899999999999999" customHeight="1">
      <c r="A26" s="17" t="s">
        <v>20</v>
      </c>
      <c r="B26" s="34" t="s">
        <v>208</v>
      </c>
      <c r="C26" s="96">
        <f>Legend!$C$11-30</f>
        <v>46100</v>
      </c>
      <c r="D26" s="96" t="s">
        <v>277</v>
      </c>
      <c r="E26" s="18" t="s">
        <v>0</v>
      </c>
      <c r="F26" s="18" t="s">
        <v>0</v>
      </c>
      <c r="G26" s="19" t="s">
        <v>0</v>
      </c>
      <c r="H26" s="19" t="s">
        <v>0</v>
      </c>
    </row>
    <row r="27" spans="1:8" ht="19.899999999999999" customHeight="1">
      <c r="A27" s="17" t="s">
        <v>140</v>
      </c>
      <c r="B27" s="34" t="s">
        <v>208</v>
      </c>
      <c r="C27" s="96">
        <f>Legend!$C$11-30</f>
        <v>46100</v>
      </c>
      <c r="D27" s="96" t="s">
        <v>277</v>
      </c>
      <c r="E27" s="18" t="s">
        <v>0</v>
      </c>
      <c r="F27" s="18" t="s">
        <v>0</v>
      </c>
      <c r="G27" s="19" t="s">
        <v>0</v>
      </c>
      <c r="H27" s="19" t="s">
        <v>0</v>
      </c>
    </row>
    <row r="28" spans="1:8" ht="19.899999999999999" customHeight="1">
      <c r="A28" s="17" t="s">
        <v>21</v>
      </c>
      <c r="B28" s="34" t="s">
        <v>208</v>
      </c>
      <c r="C28" s="96">
        <f>Legend!$C$11-30</f>
        <v>46100</v>
      </c>
      <c r="D28" s="96" t="s">
        <v>277</v>
      </c>
      <c r="E28" s="18" t="s">
        <v>0</v>
      </c>
      <c r="F28" s="18" t="s">
        <v>0</v>
      </c>
      <c r="G28" s="19" t="s">
        <v>0</v>
      </c>
      <c r="H28" s="19" t="s">
        <v>0</v>
      </c>
    </row>
    <row r="29" spans="1:8" s="55" customFormat="1" ht="19.899999999999999" customHeight="1">
      <c r="A29" s="50" t="s">
        <v>185</v>
      </c>
      <c r="B29" s="53" t="s">
        <v>208</v>
      </c>
      <c r="C29" s="97">
        <f>Legend!$C$11-30</f>
        <v>46100</v>
      </c>
      <c r="D29" s="97" t="s">
        <v>277</v>
      </c>
      <c r="E29" s="48" t="s">
        <v>187</v>
      </c>
      <c r="F29" s="48"/>
      <c r="G29" s="54"/>
      <c r="H29" s="54"/>
    </row>
    <row r="30" spans="1:8" ht="19.899999999999999" customHeight="1">
      <c r="A30" s="17" t="s">
        <v>22</v>
      </c>
      <c r="B30" s="34" t="s">
        <v>208</v>
      </c>
      <c r="C30" s="96">
        <f>Legend!$C$11-30</f>
        <v>46100</v>
      </c>
      <c r="D30" s="96" t="s">
        <v>277</v>
      </c>
      <c r="E30" s="18" t="s">
        <v>0</v>
      </c>
      <c r="F30" s="18" t="s">
        <v>0</v>
      </c>
      <c r="G30" s="19" t="s">
        <v>0</v>
      </c>
      <c r="H30" s="19" t="s">
        <v>0</v>
      </c>
    </row>
    <row r="31" spans="1:8" s="55" customFormat="1" ht="19.899999999999999" customHeight="1">
      <c r="A31" s="50" t="s">
        <v>204</v>
      </c>
      <c r="B31" s="53" t="s">
        <v>208</v>
      </c>
      <c r="C31" s="97">
        <f>Legend!$C$11-30</f>
        <v>46100</v>
      </c>
      <c r="D31" s="97" t="s">
        <v>277</v>
      </c>
      <c r="E31" s="48" t="s">
        <v>209</v>
      </c>
      <c r="F31" s="48"/>
      <c r="G31" s="54"/>
      <c r="H31" s="54"/>
    </row>
    <row r="32" spans="1:8" ht="19.899999999999999" customHeight="1">
      <c r="A32" s="17" t="s">
        <v>23</v>
      </c>
      <c r="B32" s="35" t="s">
        <v>210</v>
      </c>
      <c r="C32" s="98">
        <f>Legend!$C$11-15</f>
        <v>46115</v>
      </c>
      <c r="D32" s="98" t="s">
        <v>275</v>
      </c>
      <c r="E32" s="18" t="s">
        <v>0</v>
      </c>
      <c r="F32" s="18" t="s">
        <v>0</v>
      </c>
      <c r="G32" s="19" t="s">
        <v>0</v>
      </c>
      <c r="H32" s="19" t="s">
        <v>0</v>
      </c>
    </row>
    <row r="33" spans="1:11" ht="19.899999999999999" customHeight="1">
      <c r="A33" s="17" t="s">
        <v>24</v>
      </c>
      <c r="B33" s="36" t="s">
        <v>211</v>
      </c>
      <c r="C33" s="99">
        <f>Legend!$C$11-7</f>
        <v>46123</v>
      </c>
      <c r="D33" s="99" t="s">
        <v>275</v>
      </c>
      <c r="E33" s="18" t="s">
        <v>0</v>
      </c>
      <c r="F33" s="18" t="s">
        <v>0</v>
      </c>
      <c r="G33" s="19" t="s">
        <v>0</v>
      </c>
      <c r="H33" s="19" t="s">
        <v>0</v>
      </c>
    </row>
    <row r="34" spans="1:11" ht="19.899999999999999" customHeight="1">
      <c r="A34" s="17" t="s">
        <v>25</v>
      </c>
      <c r="B34" s="36" t="s">
        <v>211</v>
      </c>
      <c r="C34" s="99">
        <f>Legend!$C$11-7</f>
        <v>46123</v>
      </c>
      <c r="D34" s="99" t="s">
        <v>275</v>
      </c>
      <c r="E34" s="18" t="s">
        <v>0</v>
      </c>
      <c r="F34" s="18" t="s">
        <v>0</v>
      </c>
      <c r="G34" s="19" t="s">
        <v>0</v>
      </c>
      <c r="H34" s="19" t="s">
        <v>0</v>
      </c>
    </row>
    <row r="35" spans="1:11" ht="19.899999999999999" customHeight="1">
      <c r="A35" s="17" t="s">
        <v>26</v>
      </c>
      <c r="B35" s="36" t="s">
        <v>211</v>
      </c>
      <c r="C35" s="99">
        <f>Legend!$C$11-7</f>
        <v>46123</v>
      </c>
      <c r="D35" s="99" t="s">
        <v>275</v>
      </c>
      <c r="E35" s="18" t="s">
        <v>0</v>
      </c>
      <c r="F35" s="18" t="s">
        <v>0</v>
      </c>
      <c r="G35" s="19" t="s">
        <v>0</v>
      </c>
      <c r="H35" s="19" t="s">
        <v>0</v>
      </c>
    </row>
    <row r="36" spans="1:11" ht="19.899999999999999" customHeight="1">
      <c r="A36" s="17" t="s">
        <v>27</v>
      </c>
      <c r="B36" s="37" t="s">
        <v>210</v>
      </c>
      <c r="C36" s="100">
        <f>Legend!$C$11-1</f>
        <v>46129</v>
      </c>
      <c r="D36" s="100" t="s">
        <v>275</v>
      </c>
      <c r="E36" s="18" t="s">
        <v>0</v>
      </c>
      <c r="F36" s="18" t="s">
        <v>0</v>
      </c>
      <c r="G36" s="19" t="s">
        <v>0</v>
      </c>
      <c r="H36" s="19" t="s">
        <v>0</v>
      </c>
    </row>
    <row r="37" spans="1:11" ht="19.899999999999999" customHeight="1">
      <c r="A37" s="17" t="s">
        <v>28</v>
      </c>
      <c r="B37" s="38" t="s">
        <v>212</v>
      </c>
      <c r="C37" s="101">
        <f>Legend!$C$11-7</f>
        <v>46123</v>
      </c>
      <c r="D37" s="101" t="s">
        <v>275</v>
      </c>
      <c r="E37" s="18" t="s">
        <v>29</v>
      </c>
      <c r="F37" s="18" t="s">
        <v>0</v>
      </c>
      <c r="G37" s="19" t="s">
        <v>0</v>
      </c>
      <c r="H37" s="19" t="s">
        <v>0</v>
      </c>
    </row>
    <row r="38" spans="1:11" ht="19.899999999999999" customHeight="1">
      <c r="A38" s="17" t="s">
        <v>141</v>
      </c>
      <c r="B38" s="38" t="s">
        <v>212</v>
      </c>
      <c r="C38" s="101">
        <f>Legend!$C$11-7</f>
        <v>46123</v>
      </c>
      <c r="D38" s="101" t="s">
        <v>275</v>
      </c>
      <c r="E38" s="18" t="s">
        <v>30</v>
      </c>
      <c r="F38" s="18" t="s">
        <v>0</v>
      </c>
      <c r="G38" s="19" t="s">
        <v>0</v>
      </c>
      <c r="H38" s="19" t="s">
        <v>0</v>
      </c>
    </row>
    <row r="39" spans="1:11" ht="19.899999999999999" customHeight="1">
      <c r="A39" s="17" t="s">
        <v>31</v>
      </c>
      <c r="B39" s="39" t="s">
        <v>213</v>
      </c>
      <c r="C39" s="102">
        <f>Legend!$C$12</f>
        <v>46234</v>
      </c>
      <c r="D39" s="102" t="s">
        <v>275</v>
      </c>
      <c r="E39" s="18" t="s">
        <v>159</v>
      </c>
      <c r="F39" s="18" t="s">
        <v>0</v>
      </c>
      <c r="G39" s="19" t="s">
        <v>0</v>
      </c>
      <c r="H39" s="19" t="s">
        <v>0</v>
      </c>
    </row>
    <row r="40" spans="1:11" ht="28.5">
      <c r="A40" s="17" t="s">
        <v>32</v>
      </c>
      <c r="B40" s="39" t="s">
        <v>213</v>
      </c>
      <c r="C40" s="102">
        <f>Legend!$C$12</f>
        <v>46234</v>
      </c>
      <c r="D40" s="102" t="s">
        <v>275</v>
      </c>
      <c r="E40" s="46" t="s">
        <v>160</v>
      </c>
      <c r="F40" s="18" t="s">
        <v>0</v>
      </c>
      <c r="G40" s="19" t="s">
        <v>0</v>
      </c>
      <c r="H40" s="19" t="s">
        <v>0</v>
      </c>
    </row>
    <row r="41" spans="1:11" ht="19.899999999999999" customHeight="1">
      <c r="A41" s="20" t="s">
        <v>0</v>
      </c>
      <c r="B41" s="30" t="s">
        <v>0</v>
      </c>
      <c r="C41" s="91" t="s">
        <v>0</v>
      </c>
      <c r="D41" s="91"/>
      <c r="E41" s="18" t="s">
        <v>0</v>
      </c>
      <c r="F41" s="20" t="s">
        <v>0</v>
      </c>
      <c r="G41" s="60"/>
      <c r="H41" s="60"/>
    </row>
    <row r="42" spans="1:11" ht="19.899999999999999" customHeight="1">
      <c r="G42" s="61"/>
      <c r="H42" s="61"/>
    </row>
    <row r="43" spans="1:11" ht="19.899999999999999" customHeight="1">
      <c r="A43" s="2" t="s">
        <v>190</v>
      </c>
    </row>
    <row r="44" spans="1:11" ht="19.899999999999999" customHeight="1">
      <c r="A44" s="15" t="s">
        <v>2</v>
      </c>
      <c r="B44" s="23" t="s">
        <v>135</v>
      </c>
      <c r="C44" s="82" t="s">
        <v>135</v>
      </c>
      <c r="D44" s="82" t="s">
        <v>273</v>
      </c>
      <c r="E44" s="16" t="s">
        <v>3</v>
      </c>
      <c r="F44" s="16" t="s">
        <v>4</v>
      </c>
      <c r="G44" s="16" t="s">
        <v>5</v>
      </c>
      <c r="H44" s="16" t="s">
        <v>6</v>
      </c>
    </row>
    <row r="45" spans="1:11" ht="19.899999999999999" customHeight="1">
      <c r="A45" s="56" t="s">
        <v>191</v>
      </c>
      <c r="B45" s="57" t="s">
        <v>195</v>
      </c>
      <c r="C45" s="103">
        <f>Legend!$C$5+45</f>
        <v>46127</v>
      </c>
      <c r="D45" s="103" t="s">
        <v>274</v>
      </c>
      <c r="E45" s="76" t="s">
        <v>198</v>
      </c>
      <c r="F45" s="48" t="s">
        <v>0</v>
      </c>
      <c r="G45" s="54" t="s">
        <v>0</v>
      </c>
      <c r="H45" s="54" t="s">
        <v>0</v>
      </c>
      <c r="I45" s="55"/>
      <c r="J45" s="55"/>
      <c r="K45" s="55"/>
    </row>
    <row r="46" spans="1:11" ht="19.899999999999999" customHeight="1">
      <c r="A46" s="56" t="s">
        <v>192</v>
      </c>
      <c r="B46" s="57" t="s">
        <v>195</v>
      </c>
      <c r="C46" s="103">
        <f>Legend!$C$5+45</f>
        <v>46127</v>
      </c>
      <c r="D46" s="103" t="s">
        <v>274</v>
      </c>
      <c r="E46" s="76" t="s">
        <v>199</v>
      </c>
      <c r="F46" s="48" t="s">
        <v>0</v>
      </c>
      <c r="G46" s="54" t="s">
        <v>0</v>
      </c>
      <c r="H46" s="54" t="s">
        <v>0</v>
      </c>
      <c r="I46" s="55"/>
      <c r="J46" s="55"/>
      <c r="K46" s="55"/>
    </row>
    <row r="47" spans="1:11" ht="19.899999999999999" customHeight="1">
      <c r="A47" s="56" t="s">
        <v>193</v>
      </c>
      <c r="B47" s="58" t="s">
        <v>196</v>
      </c>
      <c r="C47" s="104">
        <f>Legend!$C$5+40</f>
        <v>46122</v>
      </c>
      <c r="D47" s="104" t="s">
        <v>274</v>
      </c>
      <c r="E47" s="76" t="s">
        <v>200</v>
      </c>
      <c r="F47" s="48" t="s">
        <v>0</v>
      </c>
      <c r="G47" s="54" t="s">
        <v>0</v>
      </c>
      <c r="H47" s="54" t="s">
        <v>0</v>
      </c>
      <c r="I47" s="55"/>
      <c r="J47" s="55"/>
      <c r="K47" s="55"/>
    </row>
    <row r="48" spans="1:11" ht="19.899999999999999" customHeight="1">
      <c r="A48" s="56" t="s">
        <v>194</v>
      </c>
      <c r="B48" s="59" t="s">
        <v>197</v>
      </c>
      <c r="C48" s="105">
        <f>Legend!$C$5+35</f>
        <v>46117</v>
      </c>
      <c r="D48" s="105" t="s">
        <v>274</v>
      </c>
      <c r="E48" s="76" t="s">
        <v>201</v>
      </c>
      <c r="F48" s="48" t="s">
        <v>0</v>
      </c>
      <c r="G48" s="54" t="s">
        <v>0</v>
      </c>
      <c r="H48" s="54" t="s">
        <v>0</v>
      </c>
      <c r="I48" s="55"/>
      <c r="J48" s="55"/>
      <c r="K48" s="55"/>
    </row>
    <row r="49" spans="1:11" ht="19.899999999999999" customHeight="1">
      <c r="A49" s="56" t="s">
        <v>202</v>
      </c>
      <c r="B49" s="59" t="s">
        <v>197</v>
      </c>
      <c r="C49" s="105">
        <f>Legend!$C$5+35</f>
        <v>46117</v>
      </c>
      <c r="D49" s="105" t="s">
        <v>274</v>
      </c>
      <c r="E49" s="76" t="s">
        <v>203</v>
      </c>
      <c r="F49" s="48"/>
      <c r="G49" s="54"/>
      <c r="H49" s="54"/>
      <c r="I49" s="55"/>
      <c r="J49" s="55"/>
      <c r="K49" s="55"/>
    </row>
    <row r="50" spans="1:11" ht="19.899999999999999" customHeight="1">
      <c r="A50" s="20" t="s">
        <v>0</v>
      </c>
      <c r="B50" s="30" t="s">
        <v>0</v>
      </c>
      <c r="C50" s="91" t="s">
        <v>0</v>
      </c>
      <c r="D50" s="91"/>
      <c r="E50" s="18" t="s">
        <v>0</v>
      </c>
      <c r="F50" s="20" t="s">
        <v>0</v>
      </c>
      <c r="G50" s="60"/>
      <c r="H50" s="60"/>
    </row>
    <row r="51" spans="1:11" ht="19.899999999999999" customHeight="1">
      <c r="G51" s="61"/>
      <c r="H51" s="61"/>
    </row>
    <row r="52" spans="1:11" ht="19.899999999999999" customHeight="1">
      <c r="A52" s="2" t="s">
        <v>222</v>
      </c>
    </row>
    <row r="53" spans="1:11" ht="19.899999999999999" customHeight="1">
      <c r="A53" s="15" t="s">
        <v>2</v>
      </c>
      <c r="B53" s="23" t="s">
        <v>135</v>
      </c>
      <c r="C53" s="82" t="s">
        <v>135</v>
      </c>
      <c r="D53" s="82" t="s">
        <v>273</v>
      </c>
      <c r="E53" s="16" t="s">
        <v>3</v>
      </c>
      <c r="F53" s="16" t="s">
        <v>4</v>
      </c>
      <c r="G53" s="16" t="s">
        <v>5</v>
      </c>
      <c r="H53" s="16" t="s">
        <v>6</v>
      </c>
    </row>
    <row r="54" spans="1:11" ht="19.899999999999999" customHeight="1">
      <c r="A54" s="56" t="s">
        <v>223</v>
      </c>
      <c r="B54" s="62" t="s">
        <v>210</v>
      </c>
      <c r="C54" s="106">
        <f>Legend!$C$11-15</f>
        <v>46115</v>
      </c>
      <c r="D54" s="106" t="s">
        <v>277</v>
      </c>
      <c r="E54" s="76" t="s">
        <v>229</v>
      </c>
      <c r="F54" s="48" t="s">
        <v>0</v>
      </c>
      <c r="G54" s="54" t="s">
        <v>0</v>
      </c>
      <c r="H54" s="54" t="s">
        <v>0</v>
      </c>
      <c r="I54" s="55"/>
      <c r="J54" s="55"/>
      <c r="K54" s="55"/>
    </row>
    <row r="55" spans="1:11" ht="19.899999999999999" customHeight="1">
      <c r="A55" s="56" t="s">
        <v>224</v>
      </c>
      <c r="B55" s="63" t="s">
        <v>211</v>
      </c>
      <c r="C55" s="107">
        <f>Legend!$C$11-7</f>
        <v>46123</v>
      </c>
      <c r="D55" s="107" t="s">
        <v>277</v>
      </c>
      <c r="E55" s="76" t="s">
        <v>230</v>
      </c>
      <c r="F55" s="48"/>
      <c r="G55" s="54"/>
      <c r="H55" s="54"/>
      <c r="I55" s="55"/>
      <c r="J55" s="55"/>
      <c r="K55" s="55"/>
    </row>
    <row r="56" spans="1:11" ht="19.899999999999999" customHeight="1">
      <c r="A56" s="56" t="s">
        <v>225</v>
      </c>
      <c r="B56" s="80" t="s">
        <v>272</v>
      </c>
      <c r="C56" s="108">
        <f>Legend!$C$11-2</f>
        <v>46128</v>
      </c>
      <c r="D56" s="108" t="s">
        <v>275</v>
      </c>
      <c r="E56" s="76" t="s">
        <v>231</v>
      </c>
      <c r="F56" s="48"/>
      <c r="G56" s="54"/>
      <c r="H56" s="54"/>
      <c r="I56" s="55"/>
      <c r="J56" s="55"/>
      <c r="K56" s="55"/>
    </row>
    <row r="57" spans="1:11" ht="19.899999999999999" customHeight="1">
      <c r="A57" s="56" t="s">
        <v>226</v>
      </c>
      <c r="B57" s="80" t="s">
        <v>272</v>
      </c>
      <c r="C57" s="108">
        <f>Legend!$C$11-2</f>
        <v>46128</v>
      </c>
      <c r="D57" s="108" t="s">
        <v>275</v>
      </c>
      <c r="E57" s="76" t="s">
        <v>232</v>
      </c>
      <c r="F57" s="48"/>
      <c r="G57" s="54"/>
      <c r="H57" s="54"/>
      <c r="I57" s="55"/>
      <c r="J57" s="55"/>
      <c r="K57" s="55"/>
    </row>
    <row r="58" spans="1:11" ht="19.899999999999999" customHeight="1">
      <c r="A58" s="56" t="s">
        <v>227</v>
      </c>
      <c r="B58" s="80" t="s">
        <v>272</v>
      </c>
      <c r="C58" s="108">
        <f>Legend!$C$11-2</f>
        <v>46128</v>
      </c>
      <c r="D58" s="108" t="s">
        <v>275</v>
      </c>
      <c r="E58" s="76" t="s">
        <v>233</v>
      </c>
      <c r="F58" s="48"/>
      <c r="G58" s="54"/>
      <c r="H58" s="54"/>
      <c r="I58" s="55"/>
      <c r="J58" s="55"/>
      <c r="K58" s="55"/>
    </row>
    <row r="59" spans="1:11" ht="19.899999999999999" customHeight="1">
      <c r="A59" s="56" t="s">
        <v>228</v>
      </c>
      <c r="B59" s="80" t="s">
        <v>272</v>
      </c>
      <c r="C59" s="108">
        <f>Legend!$C$11-2</f>
        <v>46128</v>
      </c>
      <c r="D59" s="108" t="s">
        <v>275</v>
      </c>
      <c r="E59" s="76" t="s">
        <v>234</v>
      </c>
      <c r="F59" s="48"/>
      <c r="G59" s="54"/>
      <c r="H59" s="54"/>
      <c r="I59" s="55"/>
      <c r="J59" s="55"/>
      <c r="K59" s="55"/>
    </row>
    <row r="60" spans="1:11" ht="19.899999999999999" customHeight="1">
      <c r="A60" s="64" t="s">
        <v>0</v>
      </c>
      <c r="B60" s="65" t="s">
        <v>0</v>
      </c>
      <c r="C60" s="109" t="s">
        <v>0</v>
      </c>
      <c r="D60" s="109"/>
      <c r="E60" s="48" t="s">
        <v>0</v>
      </c>
      <c r="F60" s="64" t="s">
        <v>0</v>
      </c>
      <c r="G60" s="60"/>
      <c r="H60" s="60"/>
    </row>
    <row r="61" spans="1:11" ht="19.899999999999999" customHeight="1">
      <c r="G61" s="61"/>
      <c r="H61" s="61"/>
    </row>
    <row r="62" spans="1:11" ht="19.899999999999999" customHeight="1">
      <c r="A62" s="4" t="s">
        <v>33</v>
      </c>
    </row>
    <row r="63" spans="1:11" ht="19.899999999999999" customHeight="1">
      <c r="A63" s="15" t="s">
        <v>2</v>
      </c>
      <c r="B63" s="23" t="s">
        <v>135</v>
      </c>
      <c r="C63" s="82" t="s">
        <v>135</v>
      </c>
      <c r="D63" s="82" t="s">
        <v>273</v>
      </c>
      <c r="E63" s="16" t="s">
        <v>3</v>
      </c>
      <c r="F63" s="16" t="s">
        <v>4</v>
      </c>
      <c r="G63" s="16" t="s">
        <v>5</v>
      </c>
      <c r="H63" s="16" t="s">
        <v>6</v>
      </c>
    </row>
    <row r="64" spans="1:11" ht="19.899999999999999" customHeight="1">
      <c r="A64" s="17" t="s">
        <v>34</v>
      </c>
      <c r="B64" s="33" t="s">
        <v>207</v>
      </c>
      <c r="C64" s="95">
        <f>Legend!$C$9+7</f>
        <v>46108</v>
      </c>
      <c r="D64" s="95" t="s">
        <v>277</v>
      </c>
      <c r="E64" s="18" t="s">
        <v>35</v>
      </c>
      <c r="F64" s="18" t="s">
        <v>0</v>
      </c>
      <c r="G64" s="19" t="s">
        <v>0</v>
      </c>
      <c r="H64" s="19" t="s">
        <v>0</v>
      </c>
    </row>
    <row r="65" spans="1:8" ht="19.899999999999999" customHeight="1">
      <c r="A65" s="17" t="s">
        <v>36</v>
      </c>
      <c r="B65" s="32" t="s">
        <v>206</v>
      </c>
      <c r="C65" s="93">
        <f>Legend!$C$9+1</f>
        <v>46102</v>
      </c>
      <c r="D65" s="93" t="s">
        <v>277</v>
      </c>
      <c r="E65" s="18" t="s">
        <v>37</v>
      </c>
      <c r="F65" s="18" t="s">
        <v>0</v>
      </c>
      <c r="G65" s="19" t="s">
        <v>0</v>
      </c>
      <c r="H65" s="19" t="s">
        <v>0</v>
      </c>
    </row>
    <row r="66" spans="1:8" ht="19.899999999999999" customHeight="1">
      <c r="A66" s="17" t="s">
        <v>38</v>
      </c>
      <c r="B66" s="33" t="s">
        <v>207</v>
      </c>
      <c r="C66" s="95">
        <f>Legend!$C$9+7</f>
        <v>46108</v>
      </c>
      <c r="D66" s="95" t="s">
        <v>277</v>
      </c>
      <c r="E66" s="18" t="s">
        <v>0</v>
      </c>
      <c r="F66" s="18" t="s">
        <v>0</v>
      </c>
      <c r="G66" s="19" t="s">
        <v>0</v>
      </c>
      <c r="H66" s="19" t="s">
        <v>0</v>
      </c>
    </row>
    <row r="67" spans="1:8" ht="19.899999999999999" customHeight="1">
      <c r="A67" s="17" t="s">
        <v>39</v>
      </c>
      <c r="B67" s="40" t="s">
        <v>186</v>
      </c>
      <c r="C67" s="110">
        <f>Legend!$C$9+30</f>
        <v>46131</v>
      </c>
      <c r="D67" s="110" t="s">
        <v>277</v>
      </c>
      <c r="E67" s="18" t="s">
        <v>40</v>
      </c>
      <c r="F67" s="18" t="s">
        <v>0</v>
      </c>
      <c r="G67" s="19" t="s">
        <v>0</v>
      </c>
      <c r="H67" s="19" t="s">
        <v>0</v>
      </c>
    </row>
    <row r="68" spans="1:8" ht="19.899999999999999" customHeight="1">
      <c r="A68" s="17" t="s">
        <v>41</v>
      </c>
      <c r="B68" s="40" t="s">
        <v>186</v>
      </c>
      <c r="C68" s="110">
        <f>Legend!$C$9+30</f>
        <v>46131</v>
      </c>
      <c r="D68" s="110" t="s">
        <v>275</v>
      </c>
      <c r="E68" s="18" t="s">
        <v>16</v>
      </c>
      <c r="F68" s="18" t="s">
        <v>0</v>
      </c>
      <c r="G68" s="19" t="s">
        <v>0</v>
      </c>
      <c r="H68" s="19" t="s">
        <v>0</v>
      </c>
    </row>
    <row r="69" spans="1:8" ht="19.899999999999999" customHeight="1">
      <c r="A69" s="17" t="s">
        <v>42</v>
      </c>
      <c r="B69" s="35" t="s">
        <v>210</v>
      </c>
      <c r="C69" s="98">
        <f>Legend!$C$11-15</f>
        <v>46115</v>
      </c>
      <c r="D69" s="98" t="s">
        <v>275</v>
      </c>
      <c r="E69" s="18" t="s">
        <v>0</v>
      </c>
      <c r="F69" s="18" t="s">
        <v>0</v>
      </c>
      <c r="G69" s="19" t="s">
        <v>0</v>
      </c>
      <c r="H69" s="19" t="s">
        <v>0</v>
      </c>
    </row>
    <row r="70" spans="1:8" s="55" customFormat="1" ht="19.899999999999999" customHeight="1">
      <c r="A70" s="50" t="s">
        <v>218</v>
      </c>
      <c r="B70" s="62" t="s">
        <v>210</v>
      </c>
      <c r="C70" s="106">
        <f>Legend!$C$11-15</f>
        <v>46115</v>
      </c>
      <c r="D70" s="106" t="s">
        <v>275</v>
      </c>
      <c r="E70" s="48" t="s">
        <v>219</v>
      </c>
      <c r="F70" s="48" t="s">
        <v>0</v>
      </c>
      <c r="G70" s="54" t="s">
        <v>0</v>
      </c>
      <c r="H70" s="54" t="s">
        <v>0</v>
      </c>
    </row>
    <row r="71" spans="1:8" ht="19.899999999999999" customHeight="1">
      <c r="A71" s="17" t="s">
        <v>43</v>
      </c>
      <c r="B71" s="36" t="s">
        <v>211</v>
      </c>
      <c r="C71" s="99">
        <f>Legend!$C$11-7</f>
        <v>46123</v>
      </c>
      <c r="D71" s="99" t="s">
        <v>275</v>
      </c>
      <c r="E71" s="18" t="s">
        <v>0</v>
      </c>
      <c r="F71" s="18" t="s">
        <v>0</v>
      </c>
      <c r="G71" s="19" t="s">
        <v>0</v>
      </c>
      <c r="H71" s="19" t="s">
        <v>0</v>
      </c>
    </row>
    <row r="72" spans="1:8" ht="19.899999999999999" customHeight="1">
      <c r="A72" s="17" t="s">
        <v>44</v>
      </c>
      <c r="B72" s="37" t="s">
        <v>214</v>
      </c>
      <c r="C72" s="100">
        <f>Legend!$C$11-1</f>
        <v>46129</v>
      </c>
      <c r="D72" s="100" t="s">
        <v>275</v>
      </c>
      <c r="E72" s="18" t="s">
        <v>0</v>
      </c>
      <c r="F72" s="18" t="s">
        <v>0</v>
      </c>
      <c r="G72" s="19" t="s">
        <v>0</v>
      </c>
      <c r="H72" s="19" t="s">
        <v>0</v>
      </c>
    </row>
    <row r="73" spans="1:8" ht="19.899999999999999" customHeight="1">
      <c r="A73" s="17" t="s">
        <v>45</v>
      </c>
      <c r="B73" s="38" t="s">
        <v>212</v>
      </c>
      <c r="C73" s="101">
        <f>Legend!$C$11</f>
        <v>46130</v>
      </c>
      <c r="D73" s="101" t="s">
        <v>275</v>
      </c>
      <c r="E73" s="18" t="s">
        <v>0</v>
      </c>
      <c r="F73" s="18" t="s">
        <v>0</v>
      </c>
      <c r="G73" s="19" t="s">
        <v>0</v>
      </c>
      <c r="H73" s="19" t="s">
        <v>0</v>
      </c>
    </row>
    <row r="74" spans="1:8" ht="19.899999999999999" customHeight="1">
      <c r="A74" s="17" t="s">
        <v>165</v>
      </c>
      <c r="B74" s="39" t="s">
        <v>213</v>
      </c>
      <c r="C74" s="102">
        <f>Legend!$C$12+7</f>
        <v>46241</v>
      </c>
      <c r="D74" s="102" t="s">
        <v>275</v>
      </c>
      <c r="E74" s="18" t="s">
        <v>164</v>
      </c>
      <c r="F74" s="18" t="s">
        <v>0</v>
      </c>
      <c r="G74" s="19" t="s">
        <v>0</v>
      </c>
      <c r="H74" s="19" t="s">
        <v>0</v>
      </c>
    </row>
    <row r="75" spans="1:8" ht="19.899999999999999" customHeight="1">
      <c r="A75" s="20" t="s">
        <v>0</v>
      </c>
      <c r="B75" s="30" t="s">
        <v>0</v>
      </c>
      <c r="C75" s="91" t="s">
        <v>0</v>
      </c>
      <c r="D75" s="91"/>
      <c r="E75" s="18" t="s">
        <v>0</v>
      </c>
      <c r="F75" s="20" t="s">
        <v>0</v>
      </c>
      <c r="G75" s="21"/>
      <c r="H75" s="21"/>
    </row>
    <row r="76" spans="1:8" ht="40.15" customHeight="1"/>
    <row r="77" spans="1:8" ht="19.899999999999999" customHeight="1">
      <c r="A77" s="5" t="s">
        <v>46</v>
      </c>
    </row>
    <row r="78" spans="1:8" ht="19.899999999999999" customHeight="1">
      <c r="A78" s="15" t="s">
        <v>2</v>
      </c>
      <c r="B78" s="23" t="s">
        <v>135</v>
      </c>
      <c r="C78" s="82" t="s">
        <v>135</v>
      </c>
      <c r="D78" s="82" t="s">
        <v>273</v>
      </c>
      <c r="E78" s="16" t="s">
        <v>3</v>
      </c>
      <c r="F78" s="16" t="s">
        <v>4</v>
      </c>
      <c r="G78" s="16" t="s">
        <v>5</v>
      </c>
      <c r="H78" s="16" t="s">
        <v>6</v>
      </c>
    </row>
    <row r="79" spans="1:8" ht="19.899999999999999" customHeight="1">
      <c r="A79" s="17" t="s">
        <v>47</v>
      </c>
      <c r="B79" s="32" t="s">
        <v>206</v>
      </c>
      <c r="C79" s="93">
        <f>Legend!$C$9+1</f>
        <v>46102</v>
      </c>
      <c r="D79" s="93" t="s">
        <v>275</v>
      </c>
      <c r="E79" s="18" t="s">
        <v>16</v>
      </c>
      <c r="F79" s="18" t="s">
        <v>0</v>
      </c>
      <c r="G79" s="19" t="s">
        <v>0</v>
      </c>
      <c r="H79" s="19" t="s">
        <v>0</v>
      </c>
    </row>
    <row r="80" spans="1:8" ht="19.899999999999999" customHeight="1">
      <c r="A80" s="17" t="s">
        <v>48</v>
      </c>
      <c r="B80" s="32" t="s">
        <v>206</v>
      </c>
      <c r="C80" s="93">
        <f>Legend!$C$9+1</f>
        <v>46102</v>
      </c>
      <c r="D80" s="93" t="s">
        <v>275</v>
      </c>
      <c r="E80" s="18" t="s">
        <v>16</v>
      </c>
      <c r="F80" s="18" t="s">
        <v>0</v>
      </c>
      <c r="G80" s="19" t="s">
        <v>0</v>
      </c>
      <c r="H80" s="19" t="s">
        <v>0</v>
      </c>
    </row>
    <row r="81" spans="1:8" ht="19.899999999999999" customHeight="1">
      <c r="A81" s="17" t="s">
        <v>49</v>
      </c>
      <c r="B81" s="33" t="s">
        <v>207</v>
      </c>
      <c r="C81" s="95">
        <f>Legend!$C$9+7</f>
        <v>46108</v>
      </c>
      <c r="D81" s="95" t="s">
        <v>275</v>
      </c>
      <c r="E81" s="18" t="s">
        <v>16</v>
      </c>
      <c r="F81" s="18" t="s">
        <v>0</v>
      </c>
      <c r="G81" s="19" t="s">
        <v>0</v>
      </c>
      <c r="H81" s="19" t="s">
        <v>0</v>
      </c>
    </row>
    <row r="82" spans="1:8" ht="19.899999999999999" customHeight="1">
      <c r="A82" s="17" t="s">
        <v>50</v>
      </c>
      <c r="B82" s="41" t="s">
        <v>215</v>
      </c>
      <c r="C82" s="111">
        <f>Legend!$C$9+15</f>
        <v>46116</v>
      </c>
      <c r="D82" s="111" t="s">
        <v>275</v>
      </c>
      <c r="E82" s="18" t="s">
        <v>16</v>
      </c>
      <c r="F82" s="18" t="s">
        <v>0</v>
      </c>
      <c r="G82" s="19" t="s">
        <v>0</v>
      </c>
      <c r="H82" s="19" t="s">
        <v>0</v>
      </c>
    </row>
    <row r="83" spans="1:8" ht="19.899999999999999" customHeight="1">
      <c r="A83" s="17" t="s">
        <v>51</v>
      </c>
      <c r="B83" s="34" t="s">
        <v>208</v>
      </c>
      <c r="C83" s="96">
        <f>Legend!$C$11-30</f>
        <v>46100</v>
      </c>
      <c r="D83" s="96" t="s">
        <v>275</v>
      </c>
      <c r="E83" s="18" t="s">
        <v>0</v>
      </c>
      <c r="F83" s="18" t="s">
        <v>0</v>
      </c>
      <c r="G83" s="19" t="s">
        <v>0</v>
      </c>
      <c r="H83" s="19" t="s">
        <v>0</v>
      </c>
    </row>
    <row r="84" spans="1:8" ht="19.899999999999999" customHeight="1">
      <c r="A84" s="20" t="s">
        <v>0</v>
      </c>
      <c r="B84" s="30" t="s">
        <v>0</v>
      </c>
      <c r="C84" s="91" t="s">
        <v>0</v>
      </c>
      <c r="D84" s="91"/>
      <c r="E84" s="18" t="s">
        <v>0</v>
      </c>
      <c r="F84" s="20" t="s">
        <v>0</v>
      </c>
      <c r="G84" s="21"/>
      <c r="H84" s="21"/>
    </row>
    <row r="85" spans="1:8" ht="40.15" customHeight="1"/>
    <row r="86" spans="1:8" ht="19.899999999999999" customHeight="1">
      <c r="A86" s="6" t="s">
        <v>52</v>
      </c>
    </row>
    <row r="87" spans="1:8" ht="19.899999999999999" customHeight="1">
      <c r="A87" s="15" t="s">
        <v>2</v>
      </c>
      <c r="B87" s="23" t="s">
        <v>135</v>
      </c>
      <c r="C87" s="82" t="s">
        <v>135</v>
      </c>
      <c r="D87" s="82" t="s">
        <v>273</v>
      </c>
      <c r="E87" s="16" t="s">
        <v>3</v>
      </c>
      <c r="F87" s="16" t="s">
        <v>4</v>
      </c>
      <c r="G87" s="16" t="s">
        <v>5</v>
      </c>
      <c r="H87" s="16" t="s">
        <v>6</v>
      </c>
    </row>
    <row r="88" spans="1:8" ht="19.899999999999999" customHeight="1">
      <c r="A88" s="17" t="s">
        <v>53</v>
      </c>
      <c r="B88" s="32" t="s">
        <v>206</v>
      </c>
      <c r="C88" s="93">
        <f>Legend!$C$9+1</f>
        <v>46102</v>
      </c>
      <c r="D88" s="93" t="s">
        <v>277</v>
      </c>
      <c r="E88" s="18" t="s">
        <v>0</v>
      </c>
      <c r="F88" s="18" t="s">
        <v>0</v>
      </c>
      <c r="G88" s="19" t="s">
        <v>0</v>
      </c>
      <c r="H88" s="19" t="s">
        <v>0</v>
      </c>
    </row>
    <row r="89" spans="1:8" ht="19.899999999999999" customHeight="1">
      <c r="A89" s="17" t="s">
        <v>54</v>
      </c>
      <c r="B89" s="34" t="s">
        <v>208</v>
      </c>
      <c r="C89" s="96">
        <f>Legend!$C$11-30</f>
        <v>46100</v>
      </c>
      <c r="D89" s="96" t="s">
        <v>277</v>
      </c>
      <c r="E89" s="18" t="s">
        <v>0</v>
      </c>
      <c r="F89" s="18" t="s">
        <v>0</v>
      </c>
      <c r="G89" s="19" t="s">
        <v>0</v>
      </c>
      <c r="H89" s="19" t="s">
        <v>0</v>
      </c>
    </row>
    <row r="90" spans="1:8" s="55" customFormat="1" ht="19.899999999999999" customHeight="1">
      <c r="A90" s="17" t="s">
        <v>220</v>
      </c>
      <c r="B90" s="62" t="s">
        <v>210</v>
      </c>
      <c r="C90" s="106">
        <f>Legend!$C$11-15</f>
        <v>46115</v>
      </c>
      <c r="D90" s="106" t="s">
        <v>275</v>
      </c>
      <c r="E90" s="48" t="s">
        <v>221</v>
      </c>
      <c r="F90" s="48"/>
      <c r="G90" s="54"/>
      <c r="H90" s="54"/>
    </row>
    <row r="91" spans="1:8" ht="19.899999999999999" customHeight="1">
      <c r="A91" s="17" t="s">
        <v>55</v>
      </c>
      <c r="B91" s="36" t="s">
        <v>211</v>
      </c>
      <c r="C91" s="99">
        <f>Legend!$C$11-7</f>
        <v>46123</v>
      </c>
      <c r="D91" s="99" t="s">
        <v>275</v>
      </c>
      <c r="E91" s="18" t="s">
        <v>16</v>
      </c>
      <c r="F91" s="18" t="s">
        <v>0</v>
      </c>
      <c r="G91" s="19" t="s">
        <v>0</v>
      </c>
      <c r="H91" s="19" t="s">
        <v>0</v>
      </c>
    </row>
    <row r="92" spans="1:8" ht="19.899999999999999" customHeight="1">
      <c r="A92" s="17" t="s">
        <v>56</v>
      </c>
      <c r="B92" s="37" t="s">
        <v>214</v>
      </c>
      <c r="C92" s="100">
        <f>Legend!$C$11-1</f>
        <v>46129</v>
      </c>
      <c r="D92" s="100" t="s">
        <v>275</v>
      </c>
      <c r="E92" s="18" t="s">
        <v>0</v>
      </c>
      <c r="F92" s="18" t="s">
        <v>0</v>
      </c>
      <c r="G92" s="19" t="s">
        <v>0</v>
      </c>
      <c r="H92" s="19" t="s">
        <v>0</v>
      </c>
    </row>
    <row r="93" spans="1:8" ht="19.899999999999999" customHeight="1">
      <c r="A93" s="17" t="s">
        <v>57</v>
      </c>
      <c r="B93" s="38" t="s">
        <v>212</v>
      </c>
      <c r="C93" s="101">
        <f>Legend!$C$11</f>
        <v>46130</v>
      </c>
      <c r="D93" s="101" t="s">
        <v>275</v>
      </c>
      <c r="E93" s="18" t="s">
        <v>0</v>
      </c>
      <c r="F93" s="18" t="s">
        <v>0</v>
      </c>
      <c r="G93" s="19" t="s">
        <v>0</v>
      </c>
      <c r="H93" s="19" t="s">
        <v>0</v>
      </c>
    </row>
    <row r="94" spans="1:8" ht="19.899999999999999" customHeight="1">
      <c r="A94" s="17" t="s">
        <v>58</v>
      </c>
      <c r="B94" s="39" t="s">
        <v>213</v>
      </c>
      <c r="C94" s="102">
        <f>Legend!$C$12+7</f>
        <v>46241</v>
      </c>
      <c r="D94" s="102" t="s">
        <v>275</v>
      </c>
      <c r="E94" s="18" t="s">
        <v>0</v>
      </c>
      <c r="F94" s="18" t="s">
        <v>0</v>
      </c>
      <c r="G94" s="19" t="s">
        <v>0</v>
      </c>
      <c r="H94" s="19" t="s">
        <v>0</v>
      </c>
    </row>
    <row r="95" spans="1:8" ht="19.899999999999999" customHeight="1">
      <c r="A95" s="20" t="s">
        <v>0</v>
      </c>
      <c r="B95" s="30" t="s">
        <v>0</v>
      </c>
      <c r="C95" s="91" t="s">
        <v>0</v>
      </c>
      <c r="D95" s="91"/>
      <c r="E95" s="18" t="s">
        <v>0</v>
      </c>
      <c r="F95" s="20" t="s">
        <v>0</v>
      </c>
      <c r="G95" s="21"/>
      <c r="H95" s="21"/>
    </row>
    <row r="96" spans="1:8" ht="40.15" customHeight="1"/>
    <row r="97" spans="1:8" ht="19.899999999999999" customHeight="1">
      <c r="A97" s="7" t="s">
        <v>59</v>
      </c>
    </row>
    <row r="98" spans="1:8" ht="19.899999999999999" customHeight="1">
      <c r="A98" s="15" t="s">
        <v>2</v>
      </c>
      <c r="B98" s="23" t="s">
        <v>135</v>
      </c>
      <c r="C98" s="82" t="s">
        <v>135</v>
      </c>
      <c r="D98" s="82" t="s">
        <v>273</v>
      </c>
      <c r="E98" s="16" t="s">
        <v>3</v>
      </c>
      <c r="F98" s="16" t="s">
        <v>4</v>
      </c>
      <c r="G98" s="16" t="s">
        <v>5</v>
      </c>
      <c r="H98" s="16" t="s">
        <v>6</v>
      </c>
    </row>
    <row r="99" spans="1:8" ht="19.899999999999999" customHeight="1">
      <c r="A99" s="17" t="s">
        <v>142</v>
      </c>
      <c r="B99" s="32" t="s">
        <v>206</v>
      </c>
      <c r="C99" s="93">
        <f>Legend!$C$9+1</f>
        <v>46102</v>
      </c>
      <c r="D99" s="93" t="s">
        <v>274</v>
      </c>
      <c r="E99" s="18" t="s">
        <v>0</v>
      </c>
      <c r="F99" s="18" t="s">
        <v>0</v>
      </c>
      <c r="G99" s="19" t="s">
        <v>0</v>
      </c>
      <c r="H99" s="19" t="s">
        <v>0</v>
      </c>
    </row>
    <row r="100" spans="1:8" ht="19.899999999999999" customHeight="1">
      <c r="A100" s="17" t="s">
        <v>143</v>
      </c>
      <c r="B100" s="33" t="s">
        <v>207</v>
      </c>
      <c r="C100" s="95">
        <f>Legend!$C$9+7</f>
        <v>46108</v>
      </c>
      <c r="D100" s="95" t="s">
        <v>274</v>
      </c>
      <c r="E100" s="18" t="s">
        <v>0</v>
      </c>
      <c r="F100" s="18" t="s">
        <v>0</v>
      </c>
      <c r="G100" s="19" t="s">
        <v>0</v>
      </c>
      <c r="H100" s="19" t="s">
        <v>0</v>
      </c>
    </row>
    <row r="101" spans="1:8" ht="19.899999999999999" customHeight="1">
      <c r="A101" s="17" t="s">
        <v>60</v>
      </c>
      <c r="B101" s="41" t="s">
        <v>215</v>
      </c>
      <c r="C101" s="111">
        <f>Legend!$C$9+15</f>
        <v>46116</v>
      </c>
      <c r="D101" s="111" t="s">
        <v>277</v>
      </c>
      <c r="E101" s="18" t="s">
        <v>0</v>
      </c>
      <c r="F101" s="18" t="s">
        <v>0</v>
      </c>
      <c r="G101" s="19" t="s">
        <v>0</v>
      </c>
      <c r="H101" s="19" t="s">
        <v>0</v>
      </c>
    </row>
    <row r="102" spans="1:8" ht="19.899999999999999" customHeight="1">
      <c r="A102" s="17" t="s">
        <v>61</v>
      </c>
      <c r="B102" s="34" t="s">
        <v>208</v>
      </c>
      <c r="C102" s="96">
        <f>Legend!$C$11-30</f>
        <v>46100</v>
      </c>
      <c r="D102" s="96" t="s">
        <v>275</v>
      </c>
      <c r="E102" s="18" t="s">
        <v>16</v>
      </c>
      <c r="F102" s="18" t="s">
        <v>0</v>
      </c>
      <c r="G102" s="19" t="s">
        <v>0</v>
      </c>
      <c r="H102" s="19" t="s">
        <v>0</v>
      </c>
    </row>
    <row r="103" spans="1:8" ht="19.899999999999999" customHeight="1">
      <c r="A103" s="17" t="s">
        <v>144</v>
      </c>
      <c r="B103" s="35" t="s">
        <v>210</v>
      </c>
      <c r="C103" s="98">
        <f>Legend!$C$11-15</f>
        <v>46115</v>
      </c>
      <c r="D103" s="98" t="s">
        <v>275</v>
      </c>
      <c r="E103" s="18" t="s">
        <v>0</v>
      </c>
      <c r="F103" s="18" t="s">
        <v>0</v>
      </c>
      <c r="G103" s="19" t="s">
        <v>0</v>
      </c>
      <c r="H103" s="19" t="s">
        <v>0</v>
      </c>
    </row>
    <row r="104" spans="1:8" ht="19.899999999999999" customHeight="1">
      <c r="A104" s="17" t="s">
        <v>145</v>
      </c>
      <c r="B104" s="36" t="s">
        <v>211</v>
      </c>
      <c r="C104" s="99">
        <f>Legend!$C$11-7</f>
        <v>46123</v>
      </c>
      <c r="D104" s="99" t="s">
        <v>275</v>
      </c>
      <c r="E104" s="18" t="s">
        <v>0</v>
      </c>
      <c r="F104" s="18" t="s">
        <v>0</v>
      </c>
      <c r="G104" s="19" t="s">
        <v>0</v>
      </c>
      <c r="H104" s="19" t="s">
        <v>0</v>
      </c>
    </row>
    <row r="105" spans="1:8" ht="19.899999999999999" customHeight="1">
      <c r="A105" s="17" t="s">
        <v>146</v>
      </c>
      <c r="B105" s="37" t="s">
        <v>214</v>
      </c>
      <c r="C105" s="100">
        <f>Legend!$C$11-1</f>
        <v>46129</v>
      </c>
      <c r="D105" s="100" t="s">
        <v>275</v>
      </c>
      <c r="E105" s="18" t="s">
        <v>0</v>
      </c>
      <c r="F105" s="18" t="s">
        <v>0</v>
      </c>
      <c r="G105" s="19" t="s">
        <v>0</v>
      </c>
      <c r="H105" s="19" t="s">
        <v>0</v>
      </c>
    </row>
    <row r="106" spans="1:8" ht="19.899999999999999" customHeight="1">
      <c r="A106" s="20" t="s">
        <v>0</v>
      </c>
      <c r="B106" s="30" t="s">
        <v>0</v>
      </c>
      <c r="C106" s="91" t="s">
        <v>0</v>
      </c>
      <c r="D106" s="91"/>
      <c r="E106" s="18" t="s">
        <v>0</v>
      </c>
      <c r="F106" s="20" t="s">
        <v>0</v>
      </c>
      <c r="G106" s="21"/>
      <c r="H106" s="21"/>
    </row>
    <row r="107" spans="1:8" ht="40.15" customHeight="1"/>
    <row r="108" spans="1:8" ht="19.899999999999999" customHeight="1">
      <c r="A108" s="8" t="s">
        <v>62</v>
      </c>
    </row>
    <row r="109" spans="1:8" ht="19.899999999999999" customHeight="1">
      <c r="A109" s="15" t="s">
        <v>2</v>
      </c>
      <c r="B109" s="23" t="s">
        <v>135</v>
      </c>
      <c r="C109" s="82" t="s">
        <v>135</v>
      </c>
      <c r="D109" s="82" t="s">
        <v>273</v>
      </c>
      <c r="E109" s="16" t="s">
        <v>3</v>
      </c>
      <c r="F109" s="16" t="s">
        <v>4</v>
      </c>
      <c r="G109" s="16" t="s">
        <v>5</v>
      </c>
      <c r="H109" s="16" t="s">
        <v>6</v>
      </c>
    </row>
    <row r="110" spans="1:8" ht="19.899999999999999" customHeight="1">
      <c r="A110" s="17" t="s">
        <v>63</v>
      </c>
      <c r="B110" s="42" t="s">
        <v>178</v>
      </c>
      <c r="C110" s="112">
        <f>Legend!$C$5+1</f>
        <v>46083</v>
      </c>
      <c r="D110" s="112" t="s">
        <v>274</v>
      </c>
      <c r="E110" s="18" t="s">
        <v>0</v>
      </c>
      <c r="F110" s="18" t="s">
        <v>0</v>
      </c>
      <c r="G110" s="19" t="s">
        <v>0</v>
      </c>
      <c r="H110" s="19" t="s">
        <v>0</v>
      </c>
    </row>
    <row r="111" spans="1:8" ht="19.899999999999999" customHeight="1">
      <c r="A111" s="17" t="s">
        <v>63</v>
      </c>
      <c r="B111" s="42" t="s">
        <v>216</v>
      </c>
      <c r="C111" s="112">
        <f>Legend!$C$9</f>
        <v>46101</v>
      </c>
      <c r="D111" s="112" t="s">
        <v>277</v>
      </c>
      <c r="E111" s="18"/>
      <c r="F111" s="18"/>
      <c r="G111" s="19"/>
      <c r="H111" s="19"/>
    </row>
    <row r="112" spans="1:8" ht="19.899999999999999" customHeight="1">
      <c r="A112" s="17" t="s">
        <v>64</v>
      </c>
      <c r="B112" s="32" t="s">
        <v>178</v>
      </c>
      <c r="C112" s="93">
        <f>Legend!$C$5+1</f>
        <v>46083</v>
      </c>
      <c r="D112" s="93" t="s">
        <v>274</v>
      </c>
      <c r="E112" s="18" t="s">
        <v>0</v>
      </c>
      <c r="F112" s="18" t="s">
        <v>0</v>
      </c>
      <c r="G112" s="19" t="s">
        <v>0</v>
      </c>
      <c r="H112" s="19" t="s">
        <v>0</v>
      </c>
    </row>
    <row r="113" spans="1:8" ht="19.899999999999999" customHeight="1">
      <c r="A113" s="17" t="s">
        <v>64</v>
      </c>
      <c r="B113" s="32" t="s">
        <v>206</v>
      </c>
      <c r="C113" s="93">
        <f>Legend!$C$9+1</f>
        <v>46102</v>
      </c>
      <c r="D113" s="93" t="s">
        <v>277</v>
      </c>
      <c r="E113" s="18" t="s">
        <v>0</v>
      </c>
      <c r="F113" s="18" t="s">
        <v>0</v>
      </c>
      <c r="G113" s="19" t="s">
        <v>0</v>
      </c>
      <c r="H113" s="19" t="s">
        <v>0</v>
      </c>
    </row>
    <row r="114" spans="1:8" ht="19.899999999999999" customHeight="1">
      <c r="A114" s="17" t="s">
        <v>65</v>
      </c>
      <c r="B114" s="41" t="s">
        <v>215</v>
      </c>
      <c r="C114" s="111">
        <f>Legend!$C$9+15</f>
        <v>46116</v>
      </c>
      <c r="D114" s="111" t="s">
        <v>277</v>
      </c>
      <c r="E114" s="18" t="s">
        <v>0</v>
      </c>
      <c r="F114" s="18" t="s">
        <v>0</v>
      </c>
      <c r="G114" s="19" t="s">
        <v>0</v>
      </c>
      <c r="H114" s="19" t="s">
        <v>0</v>
      </c>
    </row>
    <row r="115" spans="1:8" ht="19.899999999999999" customHeight="1">
      <c r="A115" s="17" t="s">
        <v>66</v>
      </c>
      <c r="B115" s="34" t="s">
        <v>208</v>
      </c>
      <c r="C115" s="96">
        <f>Legend!$C$11-30</f>
        <v>46100</v>
      </c>
      <c r="D115" s="96" t="s">
        <v>277</v>
      </c>
      <c r="E115" s="18" t="s">
        <v>0</v>
      </c>
      <c r="F115" s="18" t="s">
        <v>0</v>
      </c>
      <c r="G115" s="19" t="s">
        <v>0</v>
      </c>
      <c r="H115" s="19" t="s">
        <v>0</v>
      </c>
    </row>
    <row r="116" spans="1:8" ht="19.899999999999999" customHeight="1">
      <c r="A116" s="17" t="s">
        <v>147</v>
      </c>
      <c r="B116" s="34" t="s">
        <v>208</v>
      </c>
      <c r="C116" s="96">
        <f>Legend!$C$11-30</f>
        <v>46100</v>
      </c>
      <c r="D116" s="96" t="s">
        <v>275</v>
      </c>
      <c r="E116" s="18" t="s">
        <v>0</v>
      </c>
      <c r="F116" s="18" t="s">
        <v>0</v>
      </c>
      <c r="G116" s="19" t="s">
        <v>0</v>
      </c>
      <c r="H116" s="19" t="s">
        <v>0</v>
      </c>
    </row>
    <row r="117" spans="1:8" ht="19.899999999999999" customHeight="1">
      <c r="A117" s="17" t="s">
        <v>148</v>
      </c>
      <c r="B117" s="35" t="s">
        <v>210</v>
      </c>
      <c r="C117" s="98">
        <f>Legend!$C$11-15</f>
        <v>46115</v>
      </c>
      <c r="D117" s="98" t="s">
        <v>275</v>
      </c>
      <c r="E117" s="18" t="s">
        <v>0</v>
      </c>
      <c r="F117" s="18" t="s">
        <v>0</v>
      </c>
      <c r="G117" s="19" t="s">
        <v>0</v>
      </c>
      <c r="H117" s="19" t="s">
        <v>0</v>
      </c>
    </row>
    <row r="118" spans="1:8" ht="19.899999999999999" customHeight="1">
      <c r="A118" s="17" t="s">
        <v>67</v>
      </c>
      <c r="B118" s="36" t="s">
        <v>211</v>
      </c>
      <c r="C118" s="99">
        <f>Legend!$C$11-7</f>
        <v>46123</v>
      </c>
      <c r="D118" s="99" t="s">
        <v>275</v>
      </c>
      <c r="E118" s="18" t="s">
        <v>68</v>
      </c>
      <c r="F118" s="18" t="s">
        <v>0</v>
      </c>
      <c r="G118" s="19" t="s">
        <v>0</v>
      </c>
      <c r="H118" s="19" t="s">
        <v>0</v>
      </c>
    </row>
    <row r="119" spans="1:8" ht="19.899999999999999" customHeight="1">
      <c r="A119" s="17" t="s">
        <v>69</v>
      </c>
      <c r="B119" s="37" t="s">
        <v>214</v>
      </c>
      <c r="C119" s="100">
        <f>Legend!$C$11-1</f>
        <v>46129</v>
      </c>
      <c r="D119" s="100" t="s">
        <v>275</v>
      </c>
      <c r="E119" s="18" t="s">
        <v>0</v>
      </c>
      <c r="F119" s="18" t="s">
        <v>0</v>
      </c>
      <c r="G119" s="19" t="s">
        <v>0</v>
      </c>
      <c r="H119" s="19" t="s">
        <v>0</v>
      </c>
    </row>
    <row r="120" spans="1:8" ht="19.899999999999999" customHeight="1">
      <c r="A120" s="17" t="s">
        <v>70</v>
      </c>
      <c r="B120" s="38" t="s">
        <v>212</v>
      </c>
      <c r="C120" s="101">
        <f>Legend!$C$11-30</f>
        <v>46100</v>
      </c>
      <c r="D120" s="101" t="s">
        <v>275</v>
      </c>
      <c r="E120" s="18" t="s">
        <v>71</v>
      </c>
      <c r="F120" s="18" t="s">
        <v>0</v>
      </c>
      <c r="G120" s="19" t="s">
        <v>0</v>
      </c>
      <c r="H120" s="19" t="s">
        <v>0</v>
      </c>
    </row>
    <row r="121" spans="1:8" ht="19.899999999999999" customHeight="1">
      <c r="A121" s="17" t="s">
        <v>72</v>
      </c>
      <c r="B121" s="38" t="s">
        <v>212</v>
      </c>
      <c r="C121" s="101">
        <f>Legend!$C$11-30</f>
        <v>46100</v>
      </c>
      <c r="D121" s="101" t="s">
        <v>275</v>
      </c>
      <c r="E121" s="18" t="s">
        <v>0</v>
      </c>
      <c r="F121" s="18" t="s">
        <v>0</v>
      </c>
      <c r="G121" s="19" t="s">
        <v>0</v>
      </c>
      <c r="H121" s="19" t="s">
        <v>0</v>
      </c>
    </row>
    <row r="122" spans="1:8" ht="19.899999999999999" customHeight="1">
      <c r="A122" s="17" t="s">
        <v>73</v>
      </c>
      <c r="B122" s="39" t="s">
        <v>213</v>
      </c>
      <c r="C122" s="102">
        <f>Legend!$C$12+7</f>
        <v>46241</v>
      </c>
      <c r="D122" s="102" t="s">
        <v>275</v>
      </c>
      <c r="E122" s="18" t="s">
        <v>74</v>
      </c>
      <c r="F122" s="18" t="s">
        <v>0</v>
      </c>
      <c r="G122" s="19" t="s">
        <v>0</v>
      </c>
      <c r="H122" s="19" t="s">
        <v>0</v>
      </c>
    </row>
    <row r="123" spans="1:8" ht="19.899999999999999" customHeight="1">
      <c r="A123" s="20" t="s">
        <v>0</v>
      </c>
      <c r="B123" s="30" t="s">
        <v>0</v>
      </c>
      <c r="C123" s="91" t="s">
        <v>0</v>
      </c>
      <c r="D123" s="91"/>
      <c r="E123" s="18" t="s">
        <v>0</v>
      </c>
      <c r="F123" s="20" t="s">
        <v>0</v>
      </c>
      <c r="G123" s="21"/>
      <c r="H123" s="21"/>
    </row>
    <row r="124" spans="1:8" ht="40.15" customHeight="1"/>
    <row r="125" spans="1:8" ht="19.899999999999999" customHeight="1">
      <c r="A125" s="9" t="s">
        <v>75</v>
      </c>
    </row>
    <row r="126" spans="1:8" ht="19.899999999999999" customHeight="1">
      <c r="A126" s="15" t="s">
        <v>2</v>
      </c>
      <c r="B126" s="23" t="s">
        <v>135</v>
      </c>
      <c r="C126" s="82" t="s">
        <v>135</v>
      </c>
      <c r="D126" s="82" t="s">
        <v>273</v>
      </c>
      <c r="E126" s="16" t="s">
        <v>3</v>
      </c>
      <c r="F126" s="16" t="s">
        <v>4</v>
      </c>
      <c r="G126" s="16" t="s">
        <v>5</v>
      </c>
      <c r="H126" s="16" t="s">
        <v>6</v>
      </c>
    </row>
    <row r="127" spans="1:8" ht="19.899999999999999" customHeight="1">
      <c r="A127" s="17" t="s">
        <v>76</v>
      </c>
      <c r="B127" s="42" t="s">
        <v>216</v>
      </c>
      <c r="C127" s="112">
        <f>Legend!$C$9</f>
        <v>46101</v>
      </c>
      <c r="D127" s="112" t="s">
        <v>277</v>
      </c>
      <c r="E127" s="18" t="s">
        <v>0</v>
      </c>
      <c r="F127" s="18" t="s">
        <v>0</v>
      </c>
      <c r="G127" s="19" t="s">
        <v>0</v>
      </c>
      <c r="H127" s="19" t="s">
        <v>0</v>
      </c>
    </row>
    <row r="128" spans="1:8" ht="19.899999999999999" customHeight="1">
      <c r="A128" s="17" t="s">
        <v>77</v>
      </c>
      <c r="B128" s="33" t="s">
        <v>207</v>
      </c>
      <c r="C128" s="95">
        <f>Legend!$C$9+7</f>
        <v>46108</v>
      </c>
      <c r="D128" s="95" t="s">
        <v>277</v>
      </c>
      <c r="E128" s="18" t="s">
        <v>78</v>
      </c>
      <c r="F128" s="18" t="s">
        <v>0</v>
      </c>
      <c r="G128" s="19" t="s">
        <v>0</v>
      </c>
      <c r="H128" s="19" t="s">
        <v>0</v>
      </c>
    </row>
    <row r="129" spans="1:8" ht="19.899999999999999" customHeight="1">
      <c r="A129" s="17" t="s">
        <v>79</v>
      </c>
      <c r="B129" s="41" t="s">
        <v>215</v>
      </c>
      <c r="C129" s="111">
        <f>Legend!$C$9+15</f>
        <v>46116</v>
      </c>
      <c r="D129" s="111" t="s">
        <v>277</v>
      </c>
      <c r="E129" s="18" t="s">
        <v>0</v>
      </c>
      <c r="F129" s="18" t="s">
        <v>0</v>
      </c>
      <c r="G129" s="19" t="s">
        <v>0</v>
      </c>
      <c r="H129" s="19" t="s">
        <v>0</v>
      </c>
    </row>
    <row r="130" spans="1:8" ht="19.899999999999999" customHeight="1">
      <c r="A130" s="17" t="s">
        <v>80</v>
      </c>
      <c r="B130" s="40" t="s">
        <v>186</v>
      </c>
      <c r="C130" s="110">
        <f>Legend!$C$9+30</f>
        <v>46131</v>
      </c>
      <c r="D130" s="110" t="s">
        <v>275</v>
      </c>
      <c r="E130" s="18" t="s">
        <v>81</v>
      </c>
      <c r="F130" s="18" t="s">
        <v>0</v>
      </c>
      <c r="G130" s="19" t="s">
        <v>0</v>
      </c>
      <c r="H130" s="19" t="s">
        <v>0</v>
      </c>
    </row>
    <row r="131" spans="1:8" ht="19.899999999999999" customHeight="1">
      <c r="A131" s="17" t="s">
        <v>61</v>
      </c>
      <c r="B131" s="34" t="s">
        <v>208</v>
      </c>
      <c r="C131" s="96">
        <f>Legend!$C$11-30</f>
        <v>46100</v>
      </c>
      <c r="D131" s="96" t="s">
        <v>275</v>
      </c>
      <c r="E131" s="18" t="s">
        <v>0</v>
      </c>
      <c r="F131" s="18" t="s">
        <v>0</v>
      </c>
      <c r="G131" s="19" t="s">
        <v>0</v>
      </c>
      <c r="H131" s="19" t="s">
        <v>0</v>
      </c>
    </row>
    <row r="132" spans="1:8" ht="19.899999999999999" customHeight="1">
      <c r="A132" s="17" t="s">
        <v>149</v>
      </c>
      <c r="B132" s="35" t="s">
        <v>210</v>
      </c>
      <c r="C132" s="98">
        <f>Legend!$C$11-15</f>
        <v>46115</v>
      </c>
      <c r="D132" s="98" t="s">
        <v>275</v>
      </c>
      <c r="E132" s="18" t="s">
        <v>0</v>
      </c>
      <c r="F132" s="18" t="s">
        <v>0</v>
      </c>
      <c r="G132" s="19" t="s">
        <v>0</v>
      </c>
      <c r="H132" s="19" t="s">
        <v>0</v>
      </c>
    </row>
    <row r="133" spans="1:8" ht="19.899999999999999" customHeight="1">
      <c r="A133" s="17" t="s">
        <v>150</v>
      </c>
      <c r="B133" s="36" t="s">
        <v>211</v>
      </c>
      <c r="C133" s="99">
        <f>Legend!$C$11-7</f>
        <v>46123</v>
      </c>
      <c r="D133" s="99" t="s">
        <v>275</v>
      </c>
      <c r="E133" s="18" t="s">
        <v>81</v>
      </c>
      <c r="F133" s="18" t="s">
        <v>0</v>
      </c>
      <c r="G133" s="19" t="s">
        <v>0</v>
      </c>
      <c r="H133" s="19" t="s">
        <v>0</v>
      </c>
    </row>
    <row r="134" spans="1:8" ht="19.899999999999999" customHeight="1">
      <c r="A134" s="17" t="s">
        <v>151</v>
      </c>
      <c r="B134" s="37" t="s">
        <v>214</v>
      </c>
      <c r="C134" s="100">
        <f>Legend!$C$11-1</f>
        <v>46129</v>
      </c>
      <c r="D134" s="100" t="s">
        <v>275</v>
      </c>
      <c r="E134" s="18" t="s">
        <v>0</v>
      </c>
      <c r="F134" s="18" t="s">
        <v>0</v>
      </c>
      <c r="G134" s="19" t="s">
        <v>0</v>
      </c>
      <c r="H134" s="19" t="s">
        <v>0</v>
      </c>
    </row>
    <row r="135" spans="1:8" ht="19.899999999999999" customHeight="1">
      <c r="A135" s="17" t="s">
        <v>152</v>
      </c>
      <c r="B135" s="38" t="s">
        <v>212</v>
      </c>
      <c r="C135" s="101">
        <f>Legend!$C$11</f>
        <v>46130</v>
      </c>
      <c r="D135" s="101" t="s">
        <v>275</v>
      </c>
      <c r="E135" s="18" t="s">
        <v>0</v>
      </c>
      <c r="F135" s="18" t="s">
        <v>0</v>
      </c>
      <c r="G135" s="19" t="s">
        <v>0</v>
      </c>
      <c r="H135" s="19" t="s">
        <v>0</v>
      </c>
    </row>
    <row r="136" spans="1:8" ht="19.899999999999999" customHeight="1">
      <c r="A136" s="20" t="s">
        <v>0</v>
      </c>
      <c r="B136" s="30" t="s">
        <v>0</v>
      </c>
      <c r="C136" s="91" t="s">
        <v>0</v>
      </c>
      <c r="D136" s="91"/>
      <c r="E136" s="18" t="s">
        <v>0</v>
      </c>
      <c r="F136" s="20" t="s">
        <v>0</v>
      </c>
      <c r="G136" s="21"/>
      <c r="H136" s="21"/>
    </row>
    <row r="137" spans="1:8" ht="40.15" customHeight="1"/>
    <row r="138" spans="1:8" ht="19.899999999999999" customHeight="1">
      <c r="A138" s="9" t="s">
        <v>82</v>
      </c>
    </row>
    <row r="139" spans="1:8" ht="19.899999999999999" customHeight="1">
      <c r="A139" s="15" t="s">
        <v>2</v>
      </c>
      <c r="B139" s="23" t="s">
        <v>135</v>
      </c>
      <c r="C139" s="82" t="s">
        <v>135</v>
      </c>
      <c r="D139" s="82" t="s">
        <v>273</v>
      </c>
      <c r="E139" s="16" t="s">
        <v>3</v>
      </c>
      <c r="F139" s="16" t="s">
        <v>4</v>
      </c>
      <c r="G139" s="16" t="s">
        <v>5</v>
      </c>
      <c r="H139" s="16" t="s">
        <v>6</v>
      </c>
    </row>
    <row r="140" spans="1:8" ht="19.899999999999999" customHeight="1">
      <c r="A140" s="17" t="s">
        <v>83</v>
      </c>
      <c r="B140" s="42" t="s">
        <v>216</v>
      </c>
      <c r="C140" s="112">
        <f>Legend!$C$9</f>
        <v>46101</v>
      </c>
      <c r="D140" s="112" t="s">
        <v>274</v>
      </c>
      <c r="E140" s="18" t="s">
        <v>0</v>
      </c>
      <c r="F140" s="18" t="s">
        <v>0</v>
      </c>
      <c r="G140" s="19" t="s">
        <v>0</v>
      </c>
      <c r="H140" s="19" t="s">
        <v>0</v>
      </c>
    </row>
    <row r="141" spans="1:8" ht="19.899999999999999" customHeight="1">
      <c r="A141" s="17" t="s">
        <v>77</v>
      </c>
      <c r="B141" s="33" t="s">
        <v>207</v>
      </c>
      <c r="C141" s="95">
        <f>Legend!$C$9+7</f>
        <v>46108</v>
      </c>
      <c r="D141" s="95" t="s">
        <v>274</v>
      </c>
      <c r="E141" s="18" t="s">
        <v>78</v>
      </c>
      <c r="F141" s="18" t="s">
        <v>0</v>
      </c>
      <c r="G141" s="19" t="s">
        <v>0</v>
      </c>
      <c r="H141" s="19" t="s">
        <v>0</v>
      </c>
    </row>
    <row r="142" spans="1:8" ht="19.899999999999999" customHeight="1">
      <c r="A142" s="17" t="s">
        <v>84</v>
      </c>
      <c r="B142" s="41" t="s">
        <v>215</v>
      </c>
      <c r="C142" s="111">
        <f>Legend!$C$9+15</f>
        <v>46116</v>
      </c>
      <c r="D142" s="111" t="s">
        <v>277</v>
      </c>
      <c r="E142" s="18" t="s">
        <v>0</v>
      </c>
      <c r="F142" s="18" t="s">
        <v>0</v>
      </c>
      <c r="G142" s="19" t="s">
        <v>0</v>
      </c>
      <c r="H142" s="19" t="s">
        <v>0</v>
      </c>
    </row>
    <row r="143" spans="1:8" ht="19.899999999999999" customHeight="1">
      <c r="A143" s="17" t="s">
        <v>85</v>
      </c>
      <c r="B143" s="40" t="s">
        <v>186</v>
      </c>
      <c r="C143" s="110">
        <f>Legend!$C$9+30</f>
        <v>46131</v>
      </c>
      <c r="D143" s="110" t="s">
        <v>277</v>
      </c>
      <c r="E143" s="18" t="s">
        <v>81</v>
      </c>
      <c r="F143" s="18" t="s">
        <v>0</v>
      </c>
      <c r="G143" s="19" t="s">
        <v>0</v>
      </c>
      <c r="H143" s="19" t="s">
        <v>0</v>
      </c>
    </row>
    <row r="144" spans="1:8" ht="19.899999999999999" customHeight="1">
      <c r="A144" s="17" t="s">
        <v>61</v>
      </c>
      <c r="B144" s="34" t="s">
        <v>208</v>
      </c>
      <c r="C144" s="96">
        <f>Legend!$C$11-30</f>
        <v>46100</v>
      </c>
      <c r="D144" s="96" t="s">
        <v>277</v>
      </c>
      <c r="E144" s="18" t="s">
        <v>0</v>
      </c>
      <c r="F144" s="18" t="s">
        <v>0</v>
      </c>
      <c r="G144" s="19" t="s">
        <v>0</v>
      </c>
      <c r="H144" s="19" t="s">
        <v>0</v>
      </c>
    </row>
    <row r="145" spans="1:8" ht="19.899999999999999" customHeight="1">
      <c r="A145" s="17" t="s">
        <v>153</v>
      </c>
      <c r="B145" s="36" t="s">
        <v>211</v>
      </c>
      <c r="C145" s="99">
        <f>Legend!$C$11-7</f>
        <v>46123</v>
      </c>
      <c r="D145" s="99" t="s">
        <v>275</v>
      </c>
      <c r="E145" s="18" t="s">
        <v>30</v>
      </c>
      <c r="F145" s="18" t="s">
        <v>0</v>
      </c>
      <c r="G145" s="19" t="s">
        <v>0</v>
      </c>
      <c r="H145" s="19" t="s">
        <v>0</v>
      </c>
    </row>
    <row r="146" spans="1:8" ht="19.899999999999999" customHeight="1">
      <c r="A146" s="17" t="s">
        <v>109</v>
      </c>
      <c r="B146" s="37" t="s">
        <v>214</v>
      </c>
      <c r="C146" s="100">
        <f>Legend!$C$11-1</f>
        <v>46129</v>
      </c>
      <c r="D146" s="100" t="s">
        <v>275</v>
      </c>
      <c r="E146" s="18" t="s">
        <v>0</v>
      </c>
      <c r="F146" s="18" t="s">
        <v>0</v>
      </c>
      <c r="G146" s="19" t="s">
        <v>0</v>
      </c>
      <c r="H146" s="19" t="s">
        <v>0</v>
      </c>
    </row>
    <row r="147" spans="1:8" ht="19.899999999999999" customHeight="1">
      <c r="A147" s="17" t="s">
        <v>154</v>
      </c>
      <c r="B147" s="38" t="s">
        <v>212</v>
      </c>
      <c r="C147" s="101">
        <f>Legend!$C$11</f>
        <v>46130</v>
      </c>
      <c r="D147" s="101" t="s">
        <v>275</v>
      </c>
      <c r="E147" s="18" t="s">
        <v>0</v>
      </c>
      <c r="F147" s="18" t="s">
        <v>0</v>
      </c>
      <c r="G147" s="19" t="s">
        <v>0</v>
      </c>
      <c r="H147" s="19" t="s">
        <v>0</v>
      </c>
    </row>
    <row r="148" spans="1:8" ht="19.899999999999999" customHeight="1">
      <c r="A148" s="20" t="s">
        <v>0</v>
      </c>
      <c r="B148" s="30" t="s">
        <v>0</v>
      </c>
      <c r="C148" s="91" t="s">
        <v>0</v>
      </c>
      <c r="D148" s="91"/>
      <c r="E148" s="18" t="s">
        <v>0</v>
      </c>
      <c r="F148" s="20" t="s">
        <v>0</v>
      </c>
      <c r="G148" s="21"/>
      <c r="H148" s="21"/>
    </row>
    <row r="149" spans="1:8" ht="40.15" customHeight="1"/>
    <row r="150" spans="1:8" ht="19.899999999999999" customHeight="1">
      <c r="A150" s="10" t="s">
        <v>86</v>
      </c>
    </row>
    <row r="151" spans="1:8" ht="19.899999999999999" customHeight="1">
      <c r="A151" s="15" t="s">
        <v>2</v>
      </c>
      <c r="B151" s="23" t="s">
        <v>135</v>
      </c>
      <c r="C151" s="82" t="s">
        <v>135</v>
      </c>
      <c r="D151" s="82" t="s">
        <v>273</v>
      </c>
      <c r="E151" s="16" t="s">
        <v>3</v>
      </c>
      <c r="F151" s="16" t="s">
        <v>4</v>
      </c>
      <c r="G151" s="16" t="s">
        <v>5</v>
      </c>
      <c r="H151" s="16" t="s">
        <v>6</v>
      </c>
    </row>
    <row r="152" spans="1:8" ht="19.899999999999999" customHeight="1">
      <c r="A152" s="17" t="s">
        <v>87</v>
      </c>
      <c r="B152" s="41" t="s">
        <v>215</v>
      </c>
      <c r="C152" s="111">
        <f>Legend!$C$9+15</f>
        <v>46116</v>
      </c>
      <c r="D152" s="111" t="s">
        <v>277</v>
      </c>
      <c r="E152" s="18" t="s">
        <v>0</v>
      </c>
      <c r="F152" s="18" t="s">
        <v>0</v>
      </c>
      <c r="G152" s="19" t="s">
        <v>0</v>
      </c>
      <c r="H152" s="19" t="s">
        <v>0</v>
      </c>
    </row>
    <row r="153" spans="1:8" ht="19.899999999999999" customHeight="1">
      <c r="A153" s="17" t="s">
        <v>88</v>
      </c>
      <c r="B153" s="40" t="s">
        <v>186</v>
      </c>
      <c r="C153" s="110">
        <f>Legend!$C$9+30</f>
        <v>46131</v>
      </c>
      <c r="D153" s="110" t="s">
        <v>277</v>
      </c>
      <c r="E153" s="18" t="s">
        <v>89</v>
      </c>
      <c r="F153" s="18" t="s">
        <v>0</v>
      </c>
      <c r="G153" s="19" t="s">
        <v>0</v>
      </c>
      <c r="H153" s="19" t="s">
        <v>0</v>
      </c>
    </row>
    <row r="154" spans="1:8" ht="19.899999999999999" customHeight="1">
      <c r="A154" s="17" t="s">
        <v>90</v>
      </c>
      <c r="B154" s="34" t="s">
        <v>208</v>
      </c>
      <c r="C154" s="96">
        <f>Legend!$C$11-30</f>
        <v>46100</v>
      </c>
      <c r="D154" s="96" t="s">
        <v>275</v>
      </c>
      <c r="E154" s="18" t="s">
        <v>0</v>
      </c>
      <c r="F154" s="18" t="s">
        <v>0</v>
      </c>
      <c r="G154" s="19" t="s">
        <v>0</v>
      </c>
      <c r="H154" s="19" t="s">
        <v>0</v>
      </c>
    </row>
    <row r="155" spans="1:8" ht="19.899999999999999" customHeight="1">
      <c r="A155" s="17" t="s">
        <v>91</v>
      </c>
      <c r="B155" s="34" t="s">
        <v>208</v>
      </c>
      <c r="C155" s="96">
        <f>Legend!$C$11-30</f>
        <v>46100</v>
      </c>
      <c r="D155" s="96" t="s">
        <v>275</v>
      </c>
      <c r="E155" s="18" t="s">
        <v>0</v>
      </c>
      <c r="F155" s="18" t="s">
        <v>0</v>
      </c>
      <c r="G155" s="19" t="s">
        <v>0</v>
      </c>
      <c r="H155" s="19" t="s">
        <v>0</v>
      </c>
    </row>
    <row r="156" spans="1:8" ht="19.899999999999999" customHeight="1">
      <c r="A156" s="17" t="s">
        <v>92</v>
      </c>
      <c r="B156" s="34" t="s">
        <v>208</v>
      </c>
      <c r="C156" s="96">
        <f>Legend!$C$11-30</f>
        <v>46100</v>
      </c>
      <c r="D156" s="96" t="s">
        <v>275</v>
      </c>
      <c r="E156" s="18" t="s">
        <v>0</v>
      </c>
      <c r="F156" s="18" t="s">
        <v>0</v>
      </c>
      <c r="G156" s="19" t="s">
        <v>0</v>
      </c>
      <c r="H156" s="19" t="s">
        <v>0</v>
      </c>
    </row>
    <row r="157" spans="1:8" ht="19.899999999999999" customHeight="1">
      <c r="A157" s="17" t="s">
        <v>93</v>
      </c>
      <c r="B157" s="35" t="s">
        <v>210</v>
      </c>
      <c r="C157" s="98">
        <f>Legend!$C$11-15</f>
        <v>46115</v>
      </c>
      <c r="D157" s="98" t="s">
        <v>275</v>
      </c>
      <c r="E157" s="18" t="s">
        <v>0</v>
      </c>
      <c r="F157" s="18" t="s">
        <v>0</v>
      </c>
      <c r="G157" s="19" t="s">
        <v>0</v>
      </c>
      <c r="H157" s="19" t="s">
        <v>0</v>
      </c>
    </row>
    <row r="158" spans="1:8" ht="19.899999999999999" customHeight="1">
      <c r="A158" s="17" t="s">
        <v>94</v>
      </c>
      <c r="B158" s="37" t="s">
        <v>210</v>
      </c>
      <c r="C158" s="100">
        <f>Legend!$C$11-1</f>
        <v>46129</v>
      </c>
      <c r="D158" s="100" t="s">
        <v>275</v>
      </c>
      <c r="E158" s="18" t="s">
        <v>0</v>
      </c>
      <c r="F158" s="18" t="s">
        <v>0</v>
      </c>
      <c r="G158" s="19" t="s">
        <v>0</v>
      </c>
      <c r="H158" s="19" t="s">
        <v>0</v>
      </c>
    </row>
    <row r="159" spans="1:8" ht="19.899999999999999" customHeight="1">
      <c r="A159" s="17" t="s">
        <v>95</v>
      </c>
      <c r="B159" s="38" t="s">
        <v>212</v>
      </c>
      <c r="C159" s="101">
        <f>Legend!$C$11</f>
        <v>46130</v>
      </c>
      <c r="D159" s="101" t="s">
        <v>275</v>
      </c>
      <c r="E159" s="18" t="s">
        <v>0</v>
      </c>
      <c r="F159" s="18" t="s">
        <v>0</v>
      </c>
      <c r="G159" s="19" t="s">
        <v>0</v>
      </c>
      <c r="H159" s="19" t="s">
        <v>0</v>
      </c>
    </row>
    <row r="160" spans="1:8" ht="19.899999999999999" customHeight="1">
      <c r="A160" s="17" t="s">
        <v>96</v>
      </c>
      <c r="B160" s="38" t="s">
        <v>212</v>
      </c>
      <c r="C160" s="101">
        <f>Legend!$C$11</f>
        <v>46130</v>
      </c>
      <c r="D160" s="101" t="s">
        <v>275</v>
      </c>
      <c r="E160" s="18" t="s">
        <v>0</v>
      </c>
      <c r="F160" s="18" t="s">
        <v>0</v>
      </c>
      <c r="G160" s="19" t="s">
        <v>0</v>
      </c>
      <c r="H160" s="19" t="s">
        <v>0</v>
      </c>
    </row>
    <row r="161" spans="1:8" ht="19.899999999999999" customHeight="1">
      <c r="A161" s="17" t="s">
        <v>97</v>
      </c>
      <c r="B161" s="38" t="s">
        <v>212</v>
      </c>
      <c r="C161" s="101">
        <f>Legend!$C$11</f>
        <v>46130</v>
      </c>
      <c r="D161" s="101" t="s">
        <v>275</v>
      </c>
      <c r="E161" s="18" t="s">
        <v>98</v>
      </c>
      <c r="F161" s="18" t="s">
        <v>0</v>
      </c>
      <c r="G161" s="19" t="s">
        <v>0</v>
      </c>
      <c r="H161" s="19" t="s">
        <v>0</v>
      </c>
    </row>
    <row r="162" spans="1:8" ht="19.899999999999999" customHeight="1">
      <c r="A162" s="17" t="s">
        <v>99</v>
      </c>
      <c r="B162" s="39" t="s">
        <v>213</v>
      </c>
      <c r="C162" s="102">
        <f>Legend!$C$12+7</f>
        <v>46241</v>
      </c>
      <c r="D162" s="102" t="s">
        <v>275</v>
      </c>
      <c r="E162" s="18" t="s">
        <v>0</v>
      </c>
      <c r="F162" s="18" t="s">
        <v>0</v>
      </c>
      <c r="G162" s="19" t="s">
        <v>0</v>
      </c>
      <c r="H162" s="19" t="s">
        <v>0</v>
      </c>
    </row>
    <row r="163" spans="1:8" ht="19.899999999999999" customHeight="1">
      <c r="A163" s="20" t="s">
        <v>0</v>
      </c>
      <c r="B163" s="30" t="s">
        <v>0</v>
      </c>
      <c r="C163" s="91" t="s">
        <v>0</v>
      </c>
      <c r="D163" s="91"/>
      <c r="E163" s="18" t="s">
        <v>0</v>
      </c>
      <c r="F163" s="20" t="s">
        <v>0</v>
      </c>
      <c r="G163" s="21"/>
      <c r="H163" s="21"/>
    </row>
    <row r="164" spans="1:8" ht="40.15" customHeight="1"/>
    <row r="165" spans="1:8" ht="19.899999999999999" customHeight="1">
      <c r="A165" s="11" t="s">
        <v>100</v>
      </c>
    </row>
    <row r="166" spans="1:8" ht="19.899999999999999" customHeight="1">
      <c r="A166" s="15" t="s">
        <v>2</v>
      </c>
      <c r="B166" s="23" t="s">
        <v>135</v>
      </c>
      <c r="C166" s="82" t="s">
        <v>135</v>
      </c>
      <c r="D166" s="82" t="s">
        <v>273</v>
      </c>
      <c r="E166" s="16" t="s">
        <v>3</v>
      </c>
      <c r="F166" s="16" t="s">
        <v>4</v>
      </c>
      <c r="G166" s="16" t="s">
        <v>5</v>
      </c>
      <c r="H166" s="16" t="s">
        <v>6</v>
      </c>
    </row>
    <row r="167" spans="1:8" ht="19.899999999999999" customHeight="1">
      <c r="A167" s="17" t="s">
        <v>101</v>
      </c>
      <c r="B167" s="42" t="s">
        <v>216</v>
      </c>
      <c r="C167" s="112">
        <f>Legend!$C$9</f>
        <v>46101</v>
      </c>
      <c r="D167" s="112" t="s">
        <v>276</v>
      </c>
      <c r="E167" s="18" t="s">
        <v>0</v>
      </c>
      <c r="F167" s="18" t="s">
        <v>0</v>
      </c>
      <c r="G167" s="19" t="s">
        <v>0</v>
      </c>
      <c r="H167" s="19" t="s">
        <v>0</v>
      </c>
    </row>
    <row r="168" spans="1:8" ht="19.899999999999999" customHeight="1">
      <c r="A168" s="17" t="s">
        <v>102</v>
      </c>
      <c r="B168" s="41" t="s">
        <v>215</v>
      </c>
      <c r="C168" s="111">
        <f>Legend!$C$9+15</f>
        <v>46116</v>
      </c>
      <c r="D168" s="111" t="s">
        <v>276</v>
      </c>
      <c r="E168" s="18" t="s">
        <v>0</v>
      </c>
      <c r="F168" s="18" t="s">
        <v>0</v>
      </c>
      <c r="G168" s="19" t="s">
        <v>0</v>
      </c>
      <c r="H168" s="19" t="s">
        <v>0</v>
      </c>
    </row>
    <row r="169" spans="1:8" ht="19.899999999999999" customHeight="1">
      <c r="A169" s="17" t="s">
        <v>103</v>
      </c>
      <c r="B169" s="40" t="s">
        <v>186</v>
      </c>
      <c r="C169" s="110">
        <f>Legend!$C$9+30</f>
        <v>46131</v>
      </c>
      <c r="D169" s="110" t="s">
        <v>276</v>
      </c>
      <c r="E169" s="18" t="s">
        <v>104</v>
      </c>
      <c r="F169" s="18" t="s">
        <v>0</v>
      </c>
      <c r="G169" s="19" t="s">
        <v>0</v>
      </c>
      <c r="H169" s="19" t="s">
        <v>0</v>
      </c>
    </row>
    <row r="170" spans="1:8" ht="19.899999999999999" customHeight="1">
      <c r="A170" s="17" t="s">
        <v>105</v>
      </c>
      <c r="B170" s="43" t="s">
        <v>217</v>
      </c>
      <c r="C170" s="113">
        <f>Legend!$C$11-60</f>
        <v>46070</v>
      </c>
      <c r="D170" s="113" t="s">
        <v>276</v>
      </c>
      <c r="E170" s="18" t="s">
        <v>30</v>
      </c>
      <c r="F170" s="18" t="s">
        <v>0</v>
      </c>
      <c r="G170" s="19" t="s">
        <v>0</v>
      </c>
      <c r="H170" s="19" t="s">
        <v>0</v>
      </c>
    </row>
    <row r="171" spans="1:8" ht="19.899999999999999" customHeight="1">
      <c r="A171" s="17" t="s">
        <v>106</v>
      </c>
      <c r="B171" s="34" t="s">
        <v>208</v>
      </c>
      <c r="C171" s="96">
        <f>Legend!$C$11-30</f>
        <v>46100</v>
      </c>
      <c r="D171" s="96" t="s">
        <v>277</v>
      </c>
      <c r="E171" s="18" t="s">
        <v>30</v>
      </c>
      <c r="F171" s="18" t="s">
        <v>0</v>
      </c>
      <c r="G171" s="19" t="s">
        <v>0</v>
      </c>
      <c r="H171" s="19" t="s">
        <v>0</v>
      </c>
    </row>
    <row r="172" spans="1:8" ht="19.899999999999999" customHeight="1">
      <c r="A172" s="17" t="s">
        <v>107</v>
      </c>
      <c r="B172" s="35" t="s">
        <v>210</v>
      </c>
      <c r="C172" s="98">
        <f>Legend!$C$11-15</f>
        <v>46115</v>
      </c>
      <c r="D172" s="98" t="s">
        <v>277</v>
      </c>
      <c r="E172" s="18" t="s">
        <v>0</v>
      </c>
      <c r="F172" s="18" t="s">
        <v>0</v>
      </c>
      <c r="G172" s="19" t="s">
        <v>0</v>
      </c>
      <c r="H172" s="19" t="s">
        <v>0</v>
      </c>
    </row>
    <row r="173" spans="1:8" ht="19.899999999999999" customHeight="1">
      <c r="A173" s="17" t="s">
        <v>108</v>
      </c>
      <c r="B173" s="36" t="s">
        <v>211</v>
      </c>
      <c r="C173" s="99">
        <f>Legend!$C$11-7</f>
        <v>46123</v>
      </c>
      <c r="D173" s="99" t="s">
        <v>275</v>
      </c>
      <c r="E173" s="18" t="s">
        <v>0</v>
      </c>
      <c r="F173" s="18" t="s">
        <v>0</v>
      </c>
      <c r="G173" s="19" t="s">
        <v>0</v>
      </c>
      <c r="H173" s="19" t="s">
        <v>0</v>
      </c>
    </row>
    <row r="174" spans="1:8" ht="19.899999999999999" customHeight="1">
      <c r="A174" s="17" t="s">
        <v>109</v>
      </c>
      <c r="B174" s="37" t="s">
        <v>214</v>
      </c>
      <c r="C174" s="100">
        <f>Legend!$C$11-1</f>
        <v>46129</v>
      </c>
      <c r="D174" s="100" t="s">
        <v>275</v>
      </c>
      <c r="E174" s="18" t="s">
        <v>0</v>
      </c>
      <c r="F174" s="18" t="s">
        <v>0</v>
      </c>
      <c r="G174" s="19" t="s">
        <v>0</v>
      </c>
      <c r="H174" s="19" t="s">
        <v>0</v>
      </c>
    </row>
    <row r="175" spans="1:8" ht="19.899999999999999" customHeight="1">
      <c r="A175" s="17" t="s">
        <v>110</v>
      </c>
      <c r="B175" s="38" t="s">
        <v>212</v>
      </c>
      <c r="C175" s="101">
        <f>Legend!$C$11</f>
        <v>46130</v>
      </c>
      <c r="D175" s="101" t="s">
        <v>275</v>
      </c>
      <c r="E175" s="18" t="s">
        <v>0</v>
      </c>
      <c r="F175" s="18" t="s">
        <v>0</v>
      </c>
      <c r="G175" s="19" t="s">
        <v>0</v>
      </c>
      <c r="H175" s="19" t="s">
        <v>0</v>
      </c>
    </row>
    <row r="176" spans="1:8" ht="19.899999999999999" customHeight="1">
      <c r="A176" s="17" t="s">
        <v>111</v>
      </c>
      <c r="B176" s="38" t="s">
        <v>212</v>
      </c>
      <c r="C176" s="101">
        <f>Legend!$C$11</f>
        <v>46130</v>
      </c>
      <c r="D176" s="101" t="s">
        <v>275</v>
      </c>
      <c r="E176" s="18" t="s">
        <v>0</v>
      </c>
      <c r="F176" s="18" t="s">
        <v>0</v>
      </c>
      <c r="G176" s="19" t="s">
        <v>0</v>
      </c>
      <c r="H176" s="19" t="s">
        <v>0</v>
      </c>
    </row>
    <row r="177" spans="1:8" ht="19.899999999999999" customHeight="1">
      <c r="A177" s="17" t="s">
        <v>112</v>
      </c>
      <c r="B177" s="39" t="s">
        <v>213</v>
      </c>
      <c r="C177" s="102">
        <f>Legend!$C$12+7</f>
        <v>46241</v>
      </c>
      <c r="D177" s="102" t="s">
        <v>275</v>
      </c>
      <c r="E177" s="18" t="s">
        <v>0</v>
      </c>
      <c r="F177" s="18" t="s">
        <v>0</v>
      </c>
      <c r="G177" s="19" t="s">
        <v>0</v>
      </c>
      <c r="H177" s="19" t="s">
        <v>0</v>
      </c>
    </row>
    <row r="178" spans="1:8" ht="19.899999999999999" customHeight="1">
      <c r="A178" s="20" t="s">
        <v>0</v>
      </c>
      <c r="B178" s="30" t="s">
        <v>0</v>
      </c>
      <c r="C178" s="91" t="s">
        <v>0</v>
      </c>
      <c r="D178" s="91"/>
      <c r="E178" s="18" t="s">
        <v>0</v>
      </c>
      <c r="F178" s="20" t="s">
        <v>0</v>
      </c>
      <c r="G178" s="21"/>
      <c r="H178" s="21"/>
    </row>
    <row r="179" spans="1:8" ht="36" customHeight="1">
      <c r="A179" s="67" t="s">
        <v>246</v>
      </c>
    </row>
    <row r="180" spans="1:8" ht="19.899999999999999" customHeight="1">
      <c r="A180" s="67" t="s">
        <v>247</v>
      </c>
    </row>
    <row r="181" spans="1:8" ht="19.899999999999999" customHeight="1">
      <c r="A181" s="15" t="s">
        <v>2</v>
      </c>
      <c r="B181" s="23" t="s">
        <v>135</v>
      </c>
      <c r="C181" s="82" t="s">
        <v>135</v>
      </c>
      <c r="D181" s="82" t="s">
        <v>273</v>
      </c>
      <c r="E181" s="16" t="s">
        <v>3</v>
      </c>
      <c r="F181" s="16" t="s">
        <v>4</v>
      </c>
      <c r="G181" s="16" t="s">
        <v>5</v>
      </c>
      <c r="H181" s="16" t="s">
        <v>6</v>
      </c>
    </row>
    <row r="182" spans="1:8" s="55" customFormat="1" ht="19.899999999999999" customHeight="1">
      <c r="A182" s="56" t="s">
        <v>235</v>
      </c>
      <c r="B182" s="66" t="s">
        <v>239</v>
      </c>
      <c r="C182" s="114" t="s">
        <v>244</v>
      </c>
      <c r="D182" s="114" t="s">
        <v>275</v>
      </c>
      <c r="E182" s="76" t="s">
        <v>240</v>
      </c>
      <c r="F182" s="48" t="s">
        <v>0</v>
      </c>
      <c r="G182" s="54" t="s">
        <v>0</v>
      </c>
      <c r="H182" s="54" t="s">
        <v>0</v>
      </c>
    </row>
    <row r="183" spans="1:8" s="55" customFormat="1" ht="19.899999999999999" customHeight="1">
      <c r="A183" s="56" t="s">
        <v>236</v>
      </c>
      <c r="B183" s="66" t="s">
        <v>239</v>
      </c>
      <c r="C183" s="114" t="s">
        <v>244</v>
      </c>
      <c r="D183" s="114" t="s">
        <v>275</v>
      </c>
      <c r="E183" s="76" t="s">
        <v>241</v>
      </c>
      <c r="F183" s="48"/>
      <c r="G183" s="54"/>
      <c r="H183" s="54"/>
    </row>
    <row r="184" spans="1:8" s="55" customFormat="1" ht="19.899999999999999" customHeight="1">
      <c r="A184" s="56" t="s">
        <v>237</v>
      </c>
      <c r="B184" s="66" t="s">
        <v>239</v>
      </c>
      <c r="C184" s="114" t="s">
        <v>244</v>
      </c>
      <c r="D184" s="114" t="s">
        <v>275</v>
      </c>
      <c r="E184" s="76" t="s">
        <v>242</v>
      </c>
      <c r="F184" s="48"/>
      <c r="G184" s="54"/>
      <c r="H184" s="54"/>
    </row>
    <row r="185" spans="1:8" s="55" customFormat="1" ht="19.899999999999999" customHeight="1">
      <c r="A185" s="56" t="s">
        <v>238</v>
      </c>
      <c r="B185" s="66" t="s">
        <v>239</v>
      </c>
      <c r="C185" s="114" t="s">
        <v>244</v>
      </c>
      <c r="D185" s="114" t="s">
        <v>275</v>
      </c>
      <c r="E185" s="76" t="s">
        <v>243</v>
      </c>
      <c r="F185" s="48"/>
      <c r="G185" s="54"/>
      <c r="H185" s="54"/>
    </row>
    <row r="186" spans="1:8" s="55" customFormat="1" ht="19.899999999999999" customHeight="1">
      <c r="A186" s="64" t="s">
        <v>0</v>
      </c>
      <c r="B186" s="65" t="s">
        <v>0</v>
      </c>
      <c r="C186" s="109" t="s">
        <v>0</v>
      </c>
      <c r="D186" s="109"/>
      <c r="E186" s="48" t="s">
        <v>0</v>
      </c>
      <c r="F186" s="64" t="s">
        <v>0</v>
      </c>
      <c r="G186" s="60"/>
      <c r="H186" s="60"/>
    </row>
    <row r="187" spans="1:8" ht="36" customHeight="1"/>
    <row r="188" spans="1:8" s="72" customFormat="1" ht="19.899999999999999" customHeight="1">
      <c r="A188" s="67" t="s">
        <v>245</v>
      </c>
      <c r="B188" s="71"/>
      <c r="C188" s="115"/>
      <c r="D188" s="115"/>
      <c r="E188" s="77"/>
    </row>
    <row r="189" spans="1:8" ht="19.899999999999999" customHeight="1">
      <c r="A189" s="15" t="s">
        <v>2</v>
      </c>
      <c r="B189" s="23" t="s">
        <v>135</v>
      </c>
      <c r="C189" s="82" t="s">
        <v>135</v>
      </c>
      <c r="D189" s="82" t="s">
        <v>273</v>
      </c>
      <c r="E189" s="16" t="s">
        <v>3</v>
      </c>
      <c r="F189" s="16" t="s">
        <v>4</v>
      </c>
      <c r="G189" s="16" t="s">
        <v>5</v>
      </c>
      <c r="H189" s="16" t="s">
        <v>6</v>
      </c>
    </row>
    <row r="190" spans="1:8" s="55" customFormat="1" ht="19.899999999999999" customHeight="1">
      <c r="A190" s="56" t="s">
        <v>249</v>
      </c>
      <c r="B190" s="70" t="s">
        <v>265</v>
      </c>
      <c r="C190" s="116" t="s">
        <v>244</v>
      </c>
      <c r="D190" s="116" t="s">
        <v>275</v>
      </c>
      <c r="E190" s="76" t="s">
        <v>252</v>
      </c>
      <c r="F190" s="48" t="s">
        <v>0</v>
      </c>
      <c r="G190" s="54" t="s">
        <v>0</v>
      </c>
      <c r="H190" s="54" t="s">
        <v>0</v>
      </c>
    </row>
    <row r="191" spans="1:8" s="55" customFormat="1" ht="19.899999999999999" customHeight="1">
      <c r="A191" s="56" t="s">
        <v>250</v>
      </c>
      <c r="B191" s="66" t="s">
        <v>239</v>
      </c>
      <c r="C191" s="114" t="s">
        <v>244</v>
      </c>
      <c r="D191" s="114" t="s">
        <v>275</v>
      </c>
      <c r="E191" s="76" t="s">
        <v>253</v>
      </c>
      <c r="F191" s="48"/>
      <c r="G191" s="54"/>
      <c r="H191" s="54"/>
    </row>
    <row r="192" spans="1:8" s="55" customFormat="1" ht="19.899999999999999" customHeight="1">
      <c r="A192" s="56" t="s">
        <v>251</v>
      </c>
      <c r="B192" s="66" t="s">
        <v>266</v>
      </c>
      <c r="C192" s="114" t="s">
        <v>244</v>
      </c>
      <c r="D192" s="114" t="s">
        <v>275</v>
      </c>
      <c r="E192" s="76" t="s">
        <v>254</v>
      </c>
      <c r="F192" s="48"/>
      <c r="G192" s="54"/>
      <c r="H192" s="54"/>
    </row>
    <row r="193" spans="1:8" s="55" customFormat="1" ht="19.899999999999999" customHeight="1">
      <c r="A193" s="64" t="s">
        <v>0</v>
      </c>
      <c r="B193" s="65" t="s">
        <v>0</v>
      </c>
      <c r="C193" s="109" t="s">
        <v>0</v>
      </c>
      <c r="D193" s="109"/>
      <c r="E193" s="48" t="s">
        <v>0</v>
      </c>
      <c r="F193" s="64" t="s">
        <v>0</v>
      </c>
      <c r="G193" s="60"/>
      <c r="H193" s="60"/>
    </row>
    <row r="195" spans="1:8" s="72" customFormat="1" ht="18">
      <c r="A195" s="73" t="s">
        <v>248</v>
      </c>
      <c r="B195" s="71"/>
      <c r="C195" s="115"/>
      <c r="D195" s="115"/>
      <c r="E195" s="77"/>
    </row>
    <row r="196" spans="1:8" ht="15">
      <c r="A196" s="15" t="s">
        <v>2</v>
      </c>
      <c r="B196" s="23" t="s">
        <v>135</v>
      </c>
      <c r="C196" s="82" t="s">
        <v>135</v>
      </c>
      <c r="D196" s="82" t="s">
        <v>273</v>
      </c>
      <c r="E196" s="16" t="s">
        <v>3</v>
      </c>
      <c r="F196" s="16" t="s">
        <v>4</v>
      </c>
      <c r="G196" s="16" t="s">
        <v>5</v>
      </c>
      <c r="H196" s="16" t="s">
        <v>6</v>
      </c>
    </row>
    <row r="197" spans="1:8" s="55" customFormat="1" ht="15">
      <c r="A197" s="56" t="s">
        <v>255</v>
      </c>
      <c r="B197" s="74" t="s">
        <v>267</v>
      </c>
      <c r="C197" s="117">
        <f>Legend!$C$12+15</f>
        <v>46249</v>
      </c>
      <c r="D197" s="117" t="s">
        <v>275</v>
      </c>
      <c r="E197" s="76" t="s">
        <v>260</v>
      </c>
      <c r="F197" s="48" t="s">
        <v>0</v>
      </c>
      <c r="G197" s="54" t="s">
        <v>0</v>
      </c>
      <c r="H197" s="54" t="s">
        <v>0</v>
      </c>
    </row>
    <row r="198" spans="1:8" s="55" customFormat="1" ht="15">
      <c r="A198" s="56" t="s">
        <v>256</v>
      </c>
      <c r="B198" s="74" t="s">
        <v>267</v>
      </c>
      <c r="C198" s="117">
        <f>Legend!$C$12+15</f>
        <v>46249</v>
      </c>
      <c r="D198" s="117" t="s">
        <v>275</v>
      </c>
      <c r="E198" s="76" t="s">
        <v>261</v>
      </c>
      <c r="F198" s="48"/>
      <c r="G198" s="54"/>
      <c r="H198" s="54"/>
    </row>
    <row r="199" spans="1:8" s="55" customFormat="1" ht="15">
      <c r="A199" s="56" t="s">
        <v>257</v>
      </c>
      <c r="B199" s="74" t="s">
        <v>267</v>
      </c>
      <c r="C199" s="117">
        <f>Legend!$C$12+15</f>
        <v>46249</v>
      </c>
      <c r="D199" s="117" t="s">
        <v>275</v>
      </c>
      <c r="E199" s="76" t="s">
        <v>262</v>
      </c>
      <c r="F199" s="48"/>
      <c r="G199" s="54"/>
      <c r="H199" s="54"/>
    </row>
    <row r="200" spans="1:8" s="55" customFormat="1" ht="15">
      <c r="A200" s="56" t="s">
        <v>258</v>
      </c>
      <c r="B200" s="74" t="s">
        <v>267</v>
      </c>
      <c r="C200" s="117">
        <f>Legend!$C$12+15</f>
        <v>46249</v>
      </c>
      <c r="D200" s="117" t="s">
        <v>275</v>
      </c>
      <c r="E200" s="76" t="s">
        <v>263</v>
      </c>
      <c r="F200" s="48"/>
      <c r="G200" s="54"/>
      <c r="H200" s="54"/>
    </row>
    <row r="201" spans="1:8" s="55" customFormat="1" ht="15">
      <c r="A201" s="56" t="s">
        <v>259</v>
      </c>
      <c r="B201" s="74" t="s">
        <v>267</v>
      </c>
      <c r="C201" s="117">
        <f>Legend!$C$12+15</f>
        <v>46249</v>
      </c>
      <c r="D201" s="117" t="s">
        <v>275</v>
      </c>
      <c r="E201" s="76" t="s">
        <v>264</v>
      </c>
      <c r="F201" s="48"/>
      <c r="G201" s="54"/>
      <c r="H201" s="54"/>
    </row>
    <row r="202" spans="1:8" ht="15">
      <c r="A202" s="64" t="s">
        <v>0</v>
      </c>
      <c r="B202" s="65" t="s">
        <v>0</v>
      </c>
      <c r="C202" s="109" t="s">
        <v>0</v>
      </c>
      <c r="D202" s="109"/>
      <c r="E202" s="48" t="s">
        <v>0</v>
      </c>
      <c r="F202" s="64" t="s">
        <v>0</v>
      </c>
      <c r="G202" s="60"/>
      <c r="H202" s="60"/>
    </row>
    <row r="203" spans="1:8" ht="15">
      <c r="A203" s="55"/>
      <c r="B203" s="69"/>
      <c r="C203" s="118"/>
      <c r="D203" s="118"/>
      <c r="E203" s="75"/>
      <c r="F203" s="55"/>
      <c r="G203" s="61"/>
      <c r="H203" s="61"/>
    </row>
    <row r="204" spans="1:8" ht="15">
      <c r="A204" s="55"/>
      <c r="B204" s="69"/>
      <c r="C204" s="118"/>
      <c r="D204" s="118"/>
      <c r="E204" s="75"/>
      <c r="F204" s="55"/>
      <c r="G204" s="61"/>
      <c r="H204" s="61"/>
    </row>
    <row r="206" spans="1:8" ht="15">
      <c r="A206" s="136" t="s">
        <v>166</v>
      </c>
      <c r="B206" s="136"/>
      <c r="C206" s="136"/>
      <c r="D206" s="136"/>
      <c r="E206" s="136"/>
      <c r="F206" s="136"/>
    </row>
    <row r="207" spans="1:8" s="47" customFormat="1" ht="15">
      <c r="A207" s="48" t="s">
        <v>167</v>
      </c>
      <c r="B207" s="49" t="s">
        <v>268</v>
      </c>
      <c r="C207" s="119" t="s">
        <v>168</v>
      </c>
      <c r="D207" s="119"/>
      <c r="E207" s="48" t="s">
        <v>170</v>
      </c>
      <c r="F207" s="48" t="s">
        <v>169</v>
      </c>
    </row>
    <row r="208" spans="1:8" ht="42.75">
      <c r="A208" s="20" t="s">
        <v>171</v>
      </c>
      <c r="B208" s="30">
        <v>45679</v>
      </c>
      <c r="C208" s="91">
        <v>45679</v>
      </c>
      <c r="D208" s="91"/>
      <c r="E208" s="46" t="s">
        <v>172</v>
      </c>
      <c r="F208" s="20">
        <v>1</v>
      </c>
    </row>
    <row r="209" spans="1:6" ht="42.75">
      <c r="A209" s="20" t="s">
        <v>171</v>
      </c>
      <c r="B209" s="68" t="s">
        <v>244</v>
      </c>
      <c r="C209" s="91">
        <v>45845</v>
      </c>
      <c r="D209" s="91"/>
      <c r="E209" s="46" t="s">
        <v>269</v>
      </c>
      <c r="F209" s="20">
        <v>2</v>
      </c>
    </row>
    <row r="210" spans="1:6">
      <c r="A210" s="20"/>
      <c r="B210" s="30"/>
      <c r="C210" s="91"/>
      <c r="D210" s="91"/>
      <c r="E210" s="18"/>
      <c r="F210" s="20"/>
    </row>
    <row r="211" spans="1:6">
      <c r="A211" s="20"/>
      <c r="B211" s="30"/>
      <c r="C211" s="91"/>
      <c r="D211" s="91"/>
      <c r="E211" s="18"/>
      <c r="F211" s="20"/>
    </row>
    <row r="212" spans="1:6">
      <c r="A212" s="20"/>
      <c r="B212" s="30"/>
      <c r="C212" s="91"/>
      <c r="D212" s="91"/>
      <c r="E212" s="18"/>
      <c r="F212" s="20"/>
    </row>
    <row r="213" spans="1:6">
      <c r="A213" s="20"/>
      <c r="B213" s="30"/>
      <c r="C213" s="91"/>
      <c r="D213" s="91"/>
      <c r="E213" s="18"/>
      <c r="F213" s="20"/>
    </row>
  </sheetData>
  <mergeCells count="1">
    <mergeCell ref="A206:F206"/>
  </mergeCells>
  <phoneticPr fontId="19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6B6AB-E0A4-4013-A3CB-1C8214A3B081}">
  <dimension ref="A1:K128"/>
  <sheetViews>
    <sheetView showGridLines="0" showOutlineSymbols="0" showWhiteSpace="0" topLeftCell="A25" zoomScale="85" zoomScaleNormal="85" workbookViewId="0">
      <selection activeCell="A48" sqref="A48:A51"/>
    </sheetView>
  </sheetViews>
  <sheetFormatPr defaultColWidth="8.75" defaultRowHeight="14.25"/>
  <cols>
    <col min="1" max="1" width="110.75" style="14" bestFit="1" customWidth="1"/>
    <col min="2" max="2" width="25" style="22" customWidth="1"/>
    <col min="3" max="3" width="17.375" style="81" bestFit="1" customWidth="1"/>
    <col min="4" max="4" width="17.375" style="81" customWidth="1"/>
    <col min="5" max="5" width="58.25" style="47" bestFit="1" customWidth="1"/>
    <col min="6" max="6" width="13.25" style="14" bestFit="1" customWidth="1"/>
    <col min="7" max="7" width="18.125" style="14" bestFit="1" customWidth="1"/>
    <col min="8" max="8" width="21.375" style="14" bestFit="1" customWidth="1"/>
    <col min="9" max="16384" width="8.75" style="14"/>
  </cols>
  <sheetData>
    <row r="1" spans="1:8" ht="40.15" customHeight="1">
      <c r="A1" s="1" t="s">
        <v>134</v>
      </c>
    </row>
    <row r="2" spans="1:8" ht="19.899999999999999" customHeight="1">
      <c r="A2" s="14" t="s">
        <v>0</v>
      </c>
      <c r="B2" s="22" t="s">
        <v>0</v>
      </c>
      <c r="C2" s="81" t="s">
        <v>0</v>
      </c>
      <c r="E2" s="47" t="s">
        <v>0</v>
      </c>
      <c r="F2" s="14" t="s">
        <v>0</v>
      </c>
      <c r="G2" s="14" t="s">
        <v>0</v>
      </c>
    </row>
    <row r="3" spans="1:8" ht="19.899999999999999" customHeight="1">
      <c r="A3" s="2" t="s">
        <v>1</v>
      </c>
    </row>
    <row r="4" spans="1:8" ht="19.899999999999999" customHeight="1">
      <c r="A4" s="15" t="s">
        <v>2</v>
      </c>
      <c r="B4" s="23" t="s">
        <v>135</v>
      </c>
      <c r="C4" s="82" t="s">
        <v>135</v>
      </c>
      <c r="D4" s="82" t="s">
        <v>273</v>
      </c>
      <c r="E4" s="16" t="s">
        <v>3</v>
      </c>
      <c r="F4" s="16" t="s">
        <v>4</v>
      </c>
      <c r="G4" s="16" t="s">
        <v>5</v>
      </c>
      <c r="H4" s="16" t="s">
        <v>6</v>
      </c>
    </row>
    <row r="5" spans="1:8" ht="19.899999999999999" customHeight="1">
      <c r="A5" s="17" t="s">
        <v>7</v>
      </c>
      <c r="B5" s="24" t="s">
        <v>177</v>
      </c>
      <c r="C5" s="83">
        <f>Legend!$C$5</f>
        <v>46082</v>
      </c>
      <c r="D5" s="83" t="s">
        <v>274</v>
      </c>
      <c r="E5" s="18" t="s">
        <v>0</v>
      </c>
      <c r="F5" s="18" t="s">
        <v>0</v>
      </c>
      <c r="G5" s="19" t="s">
        <v>0</v>
      </c>
      <c r="H5" s="19" t="s">
        <v>0</v>
      </c>
    </row>
    <row r="6" spans="1:8" ht="19.899999999999999" customHeight="1">
      <c r="A6" s="17" t="s">
        <v>8</v>
      </c>
      <c r="B6" s="25" t="s">
        <v>178</v>
      </c>
      <c r="C6" s="84">
        <f>Legend!$C$5+1</f>
        <v>46083</v>
      </c>
      <c r="D6" s="84" t="s">
        <v>274</v>
      </c>
      <c r="E6" s="18" t="s">
        <v>0</v>
      </c>
      <c r="F6" s="18" t="s">
        <v>0</v>
      </c>
      <c r="G6" s="19" t="s">
        <v>0</v>
      </c>
      <c r="H6" s="19" t="s">
        <v>0</v>
      </c>
    </row>
    <row r="7" spans="1:8" ht="19.899999999999999" customHeight="1">
      <c r="A7" s="17" t="s">
        <v>278</v>
      </c>
      <c r="B7" s="25" t="s">
        <v>178</v>
      </c>
      <c r="C7" s="84">
        <f>Legend!$C$5+1</f>
        <v>46083</v>
      </c>
      <c r="D7" s="84" t="s">
        <v>274</v>
      </c>
      <c r="E7" s="18" t="s">
        <v>279</v>
      </c>
      <c r="F7" s="18" t="s">
        <v>0</v>
      </c>
      <c r="G7" s="19" t="s">
        <v>0</v>
      </c>
      <c r="H7" s="19" t="s">
        <v>0</v>
      </c>
    </row>
    <row r="8" spans="1:8" ht="19.899999999999999" customHeight="1">
      <c r="A8" s="17" t="s">
        <v>280</v>
      </c>
      <c r="B8" s="26" t="s">
        <v>179</v>
      </c>
      <c r="C8" s="85">
        <f>Legend!$C$5+7</f>
        <v>46089</v>
      </c>
      <c r="D8" s="85" t="s">
        <v>274</v>
      </c>
      <c r="E8" s="18" t="s">
        <v>281</v>
      </c>
      <c r="F8" s="18" t="s">
        <v>0</v>
      </c>
      <c r="G8" s="19" t="s">
        <v>0</v>
      </c>
      <c r="H8" s="19" t="s">
        <v>0</v>
      </c>
    </row>
    <row r="9" spans="1:8" ht="19.899999999999999" customHeight="1">
      <c r="A9" s="17" t="s">
        <v>282</v>
      </c>
      <c r="B9" s="26" t="s">
        <v>179</v>
      </c>
      <c r="C9" s="85">
        <f>Legend!$C$5+7</f>
        <v>46089</v>
      </c>
      <c r="D9" s="85" t="s">
        <v>274</v>
      </c>
      <c r="E9" s="18" t="s">
        <v>283</v>
      </c>
      <c r="F9" s="18" t="s">
        <v>0</v>
      </c>
      <c r="G9" s="19" t="s">
        <v>0</v>
      </c>
      <c r="H9" s="19" t="s">
        <v>0</v>
      </c>
    </row>
    <row r="10" spans="1:8" ht="19.899999999999999" customHeight="1">
      <c r="A10" s="17" t="s">
        <v>284</v>
      </c>
      <c r="B10" s="28" t="s">
        <v>188</v>
      </c>
      <c r="C10" s="89">
        <f>Legend!$C$7</f>
        <v>46096</v>
      </c>
      <c r="D10" s="89" t="s">
        <v>274</v>
      </c>
      <c r="E10" s="18" t="s">
        <v>138</v>
      </c>
      <c r="F10" s="18" t="s">
        <v>0</v>
      </c>
      <c r="G10" s="19" t="s">
        <v>0</v>
      </c>
      <c r="H10" s="19" t="s">
        <v>0</v>
      </c>
    </row>
    <row r="11" spans="1:8" ht="19.899999999999999" customHeight="1">
      <c r="A11" s="17" t="s">
        <v>285</v>
      </c>
      <c r="B11" s="29" t="s">
        <v>189</v>
      </c>
      <c r="C11" s="90">
        <f>Legend!$C$7+15</f>
        <v>46111</v>
      </c>
      <c r="D11" s="90" t="s">
        <v>274</v>
      </c>
      <c r="E11" s="18" t="s">
        <v>286</v>
      </c>
      <c r="F11" s="18" t="s">
        <v>0</v>
      </c>
      <c r="G11" s="19" t="s">
        <v>0</v>
      </c>
      <c r="H11" s="19" t="s">
        <v>0</v>
      </c>
    </row>
    <row r="12" spans="1:8" ht="19.899999999999999" customHeight="1">
      <c r="G12" s="61"/>
      <c r="H12" s="61"/>
    </row>
    <row r="13" spans="1:8" ht="19.899999999999999" customHeight="1">
      <c r="A13" s="3" t="s">
        <v>287</v>
      </c>
    </row>
    <row r="14" spans="1:8" ht="19.899999999999999" customHeight="1">
      <c r="A14" s="15" t="s">
        <v>2</v>
      </c>
      <c r="B14" s="23" t="s">
        <v>135</v>
      </c>
      <c r="C14" s="82" t="s">
        <v>135</v>
      </c>
      <c r="D14" s="82" t="s">
        <v>273</v>
      </c>
      <c r="E14" s="16" t="s">
        <v>3</v>
      </c>
      <c r="F14" s="16" t="s">
        <v>4</v>
      </c>
      <c r="G14" s="16" t="s">
        <v>5</v>
      </c>
      <c r="H14" s="16" t="s">
        <v>6</v>
      </c>
    </row>
    <row r="15" spans="1:8" ht="19.899999999999999" customHeight="1">
      <c r="A15" s="17" t="s">
        <v>288</v>
      </c>
      <c r="B15" s="31" t="s">
        <v>205</v>
      </c>
      <c r="C15" s="92">
        <f>Legend!$C$11-90</f>
        <v>46040</v>
      </c>
      <c r="D15" s="92" t="s">
        <v>277</v>
      </c>
      <c r="E15" s="18" t="s">
        <v>290</v>
      </c>
      <c r="F15" s="18" t="s">
        <v>0</v>
      </c>
      <c r="G15" s="19" t="s">
        <v>0</v>
      </c>
      <c r="H15" s="19" t="s">
        <v>0</v>
      </c>
    </row>
    <row r="16" spans="1:8" ht="19.899999999999999" customHeight="1">
      <c r="A16" s="17" t="s">
        <v>289</v>
      </c>
      <c r="B16" s="31" t="s">
        <v>205</v>
      </c>
      <c r="C16" s="92">
        <f>Legend!$C$11-90</f>
        <v>46040</v>
      </c>
      <c r="D16" s="92" t="s">
        <v>277</v>
      </c>
      <c r="E16" s="18" t="s">
        <v>290</v>
      </c>
      <c r="F16" s="18" t="s">
        <v>0</v>
      </c>
      <c r="G16" s="19" t="s">
        <v>0</v>
      </c>
      <c r="H16" s="19" t="s">
        <v>0</v>
      </c>
    </row>
    <row r="18" spans="1:8" ht="19.899999999999999" customHeight="1">
      <c r="A18" s="3" t="s">
        <v>17</v>
      </c>
    </row>
    <row r="19" spans="1:8" ht="19.899999999999999" customHeight="1">
      <c r="A19" s="15" t="s">
        <v>2</v>
      </c>
      <c r="B19" s="23" t="s">
        <v>135</v>
      </c>
      <c r="C19" s="82" t="s">
        <v>135</v>
      </c>
      <c r="D19" s="82" t="s">
        <v>273</v>
      </c>
      <c r="E19" s="16" t="s">
        <v>3</v>
      </c>
      <c r="F19" s="16" t="s">
        <v>4</v>
      </c>
      <c r="G19" s="16" t="s">
        <v>5</v>
      </c>
      <c r="H19" s="16" t="s">
        <v>6</v>
      </c>
    </row>
    <row r="20" spans="1:8" ht="19.899999999999999" customHeight="1">
      <c r="A20" s="17" t="s">
        <v>291</v>
      </c>
      <c r="B20" s="31" t="s">
        <v>205</v>
      </c>
      <c r="C20" s="92">
        <f>Legend!$C$11-90</f>
        <v>46040</v>
      </c>
      <c r="D20" s="92" t="s">
        <v>277</v>
      </c>
      <c r="E20" s="18" t="s">
        <v>292</v>
      </c>
      <c r="F20" s="18" t="s">
        <v>0</v>
      </c>
      <c r="G20" s="19" t="s">
        <v>0</v>
      </c>
      <c r="H20" s="19" t="s">
        <v>0</v>
      </c>
    </row>
    <row r="21" spans="1:8" ht="19.899999999999999" customHeight="1">
      <c r="A21" s="17" t="s">
        <v>293</v>
      </c>
      <c r="B21" s="32" t="s">
        <v>206</v>
      </c>
      <c r="C21" s="93">
        <f>Legend!$C$9+1</f>
        <v>46102</v>
      </c>
      <c r="D21" s="93" t="s">
        <v>277</v>
      </c>
      <c r="E21" s="18" t="s">
        <v>294</v>
      </c>
      <c r="F21" s="18" t="s">
        <v>0</v>
      </c>
      <c r="G21" s="19" t="s">
        <v>0</v>
      </c>
      <c r="H21" s="19" t="s">
        <v>0</v>
      </c>
    </row>
    <row r="22" spans="1:8" ht="19.899999999999999" customHeight="1">
      <c r="A22" s="17" t="s">
        <v>295</v>
      </c>
      <c r="B22" s="33" t="s">
        <v>183</v>
      </c>
      <c r="C22" s="95">
        <f>Legend!$C$9+3</f>
        <v>46104</v>
      </c>
      <c r="D22" s="95" t="s">
        <v>277</v>
      </c>
      <c r="E22" s="18" t="s">
        <v>182</v>
      </c>
      <c r="F22" s="18"/>
      <c r="G22" s="19"/>
      <c r="H22" s="19"/>
    </row>
    <row r="23" spans="1:8" ht="19.899999999999999" customHeight="1">
      <c r="A23" s="17" t="s">
        <v>330</v>
      </c>
      <c r="B23" s="33" t="s">
        <v>207</v>
      </c>
      <c r="C23" s="95">
        <f>Legend!$C$9+7</f>
        <v>46108</v>
      </c>
      <c r="D23" s="95" t="s">
        <v>277</v>
      </c>
      <c r="E23" s="18" t="s">
        <v>296</v>
      </c>
      <c r="F23" s="18" t="s">
        <v>0</v>
      </c>
      <c r="G23" s="19" t="s">
        <v>0</v>
      </c>
      <c r="H23" s="19" t="s">
        <v>0</v>
      </c>
    </row>
    <row r="24" spans="1:8" ht="19.899999999999999" customHeight="1">
      <c r="A24" s="17" t="s">
        <v>299</v>
      </c>
      <c r="B24" s="34" t="s">
        <v>208</v>
      </c>
      <c r="C24" s="96">
        <f>Legend!$C$11-30</f>
        <v>46100</v>
      </c>
      <c r="D24" s="96" t="s">
        <v>277</v>
      </c>
      <c r="E24" s="18" t="s">
        <v>298</v>
      </c>
      <c r="F24" s="18" t="s">
        <v>0</v>
      </c>
      <c r="G24" s="19" t="s">
        <v>0</v>
      </c>
      <c r="H24" s="19" t="s">
        <v>0</v>
      </c>
    </row>
    <row r="25" spans="1:8" ht="19.899999999999999" customHeight="1">
      <c r="A25" s="17" t="s">
        <v>300</v>
      </c>
      <c r="B25" s="34" t="s">
        <v>208</v>
      </c>
      <c r="C25" s="96">
        <f>Legend!$C$11-30</f>
        <v>46100</v>
      </c>
      <c r="D25" s="96" t="s">
        <v>277</v>
      </c>
      <c r="E25" s="18" t="s">
        <v>0</v>
      </c>
      <c r="F25" s="18" t="s">
        <v>0</v>
      </c>
      <c r="G25" s="19" t="s">
        <v>0</v>
      </c>
      <c r="H25" s="19" t="s">
        <v>0</v>
      </c>
    </row>
    <row r="26" spans="1:8" ht="28.5">
      <c r="A26" s="17" t="s">
        <v>313</v>
      </c>
      <c r="B26" s="34"/>
      <c r="C26" s="96"/>
      <c r="D26" s="96" t="s">
        <v>277</v>
      </c>
      <c r="E26" s="46" t="s">
        <v>314</v>
      </c>
      <c r="F26" s="18"/>
      <c r="G26" s="19"/>
      <c r="H26" s="19"/>
    </row>
    <row r="27" spans="1:8" s="55" customFormat="1" ht="19.899999999999999" customHeight="1">
      <c r="A27" s="20" t="s">
        <v>301</v>
      </c>
      <c r="B27" s="34"/>
      <c r="C27" s="96">
        <f>Legend!$C$11-30</f>
        <v>46100</v>
      </c>
      <c r="D27" s="96" t="s">
        <v>277</v>
      </c>
      <c r="E27" s="64"/>
      <c r="F27" s="48"/>
      <c r="G27" s="54"/>
      <c r="H27" s="54"/>
    </row>
    <row r="28" spans="1:8" ht="19.899999999999999" customHeight="1">
      <c r="A28" s="17" t="s">
        <v>302</v>
      </c>
      <c r="B28" s="34" t="s">
        <v>208</v>
      </c>
      <c r="C28" s="96">
        <f>Legend!$C$11-30</f>
        <v>46100</v>
      </c>
      <c r="D28" s="96" t="s">
        <v>277</v>
      </c>
      <c r="E28" s="18" t="s">
        <v>303</v>
      </c>
      <c r="F28" s="18" t="s">
        <v>0</v>
      </c>
      <c r="G28" s="19" t="s">
        <v>0</v>
      </c>
      <c r="H28" s="19" t="s">
        <v>0</v>
      </c>
    </row>
    <row r="29" spans="1:8" ht="19.899999999999999" customHeight="1">
      <c r="A29" s="17" t="s">
        <v>23</v>
      </c>
      <c r="B29" s="35" t="s">
        <v>210</v>
      </c>
      <c r="C29" s="98">
        <f>Legend!$C$11-15</f>
        <v>46115</v>
      </c>
      <c r="D29" s="98" t="s">
        <v>275</v>
      </c>
      <c r="E29" s="18" t="s">
        <v>306</v>
      </c>
      <c r="F29" s="18" t="s">
        <v>0</v>
      </c>
      <c r="G29" s="19" t="s">
        <v>0</v>
      </c>
      <c r="H29" s="19" t="s">
        <v>0</v>
      </c>
    </row>
    <row r="30" spans="1:8" ht="19.899999999999999" customHeight="1">
      <c r="A30" s="17" t="s">
        <v>26</v>
      </c>
      <c r="B30" s="36" t="s">
        <v>211</v>
      </c>
      <c r="C30" s="99">
        <f>Legend!$C$11-7</f>
        <v>46123</v>
      </c>
      <c r="D30" s="99" t="s">
        <v>275</v>
      </c>
      <c r="E30" s="18" t="s">
        <v>0</v>
      </c>
      <c r="F30" s="18" t="s">
        <v>0</v>
      </c>
      <c r="G30" s="19" t="s">
        <v>0</v>
      </c>
      <c r="H30" s="19" t="s">
        <v>0</v>
      </c>
    </row>
    <row r="31" spans="1:8" ht="19.899999999999999" customHeight="1">
      <c r="A31" s="17" t="s">
        <v>27</v>
      </c>
      <c r="B31" s="37" t="s">
        <v>210</v>
      </c>
      <c r="C31" s="100">
        <f>Legend!$C$11-1</f>
        <v>46129</v>
      </c>
      <c r="D31" s="100" t="s">
        <v>275</v>
      </c>
      <c r="E31" s="18" t="s">
        <v>0</v>
      </c>
      <c r="F31" s="18" t="s">
        <v>0</v>
      </c>
      <c r="G31" s="19" t="s">
        <v>0</v>
      </c>
      <c r="H31" s="19" t="s">
        <v>0</v>
      </c>
    </row>
    <row r="32" spans="1:8" ht="19.899999999999999" customHeight="1">
      <c r="A32" s="17" t="s">
        <v>308</v>
      </c>
      <c r="B32" s="39" t="s">
        <v>213</v>
      </c>
      <c r="C32" s="102">
        <f>Legend!$C$12</f>
        <v>46234</v>
      </c>
      <c r="D32" s="102" t="s">
        <v>275</v>
      </c>
      <c r="E32" s="18" t="s">
        <v>159</v>
      </c>
      <c r="F32" s="18" t="s">
        <v>0</v>
      </c>
      <c r="G32" s="19" t="s">
        <v>0</v>
      </c>
      <c r="H32" s="19" t="s">
        <v>0</v>
      </c>
    </row>
    <row r="33" spans="1:11" ht="28.5">
      <c r="A33" s="17" t="s">
        <v>32</v>
      </c>
      <c r="B33" s="39" t="s">
        <v>213</v>
      </c>
      <c r="C33" s="102">
        <f>Legend!$C$12</f>
        <v>46234</v>
      </c>
      <c r="D33" s="102" t="s">
        <v>275</v>
      </c>
      <c r="E33" s="46" t="s">
        <v>160</v>
      </c>
      <c r="F33" s="18" t="s">
        <v>0</v>
      </c>
      <c r="G33" s="19" t="s">
        <v>0</v>
      </c>
      <c r="H33" s="19" t="s">
        <v>0</v>
      </c>
    </row>
    <row r="34" spans="1:11" ht="19.899999999999999" customHeight="1">
      <c r="A34" s="20" t="s">
        <v>0</v>
      </c>
      <c r="B34" s="30" t="s">
        <v>0</v>
      </c>
      <c r="C34" s="91" t="s">
        <v>0</v>
      </c>
      <c r="D34" s="91"/>
      <c r="E34" s="18" t="s">
        <v>0</v>
      </c>
      <c r="F34" s="20" t="s">
        <v>0</v>
      </c>
      <c r="G34" s="60"/>
      <c r="H34" s="60"/>
    </row>
    <row r="35" spans="1:11" ht="19.899999999999999" customHeight="1">
      <c r="G35" s="61"/>
      <c r="H35" s="61"/>
    </row>
    <row r="36" spans="1:11" ht="19.899999999999999" customHeight="1">
      <c r="A36" s="2" t="s">
        <v>190</v>
      </c>
    </row>
    <row r="37" spans="1:11" ht="19.899999999999999" customHeight="1">
      <c r="A37" s="15" t="s">
        <v>2</v>
      </c>
      <c r="B37" s="23" t="s">
        <v>135</v>
      </c>
      <c r="C37" s="82" t="s">
        <v>135</v>
      </c>
      <c r="D37" s="82" t="s">
        <v>273</v>
      </c>
      <c r="E37" s="16" t="s">
        <v>3</v>
      </c>
      <c r="F37" s="16" t="s">
        <v>4</v>
      </c>
      <c r="G37" s="16" t="s">
        <v>5</v>
      </c>
      <c r="H37" s="16" t="s">
        <v>6</v>
      </c>
    </row>
    <row r="38" spans="1:11" ht="19.899999999999999" customHeight="1">
      <c r="A38" s="56" t="s">
        <v>191</v>
      </c>
      <c r="B38" s="57" t="s">
        <v>195</v>
      </c>
      <c r="C38" s="103">
        <f>Legend!$C$5+45</f>
        <v>46127</v>
      </c>
      <c r="D38" s="103" t="s">
        <v>274</v>
      </c>
      <c r="E38" s="76" t="s">
        <v>198</v>
      </c>
      <c r="F38" s="48" t="s">
        <v>0</v>
      </c>
      <c r="G38" s="54" t="s">
        <v>0</v>
      </c>
      <c r="H38" s="54" t="s">
        <v>0</v>
      </c>
      <c r="I38" s="55"/>
      <c r="J38" s="55"/>
      <c r="K38" s="55"/>
    </row>
    <row r="39" spans="1:11" ht="19.899999999999999" customHeight="1">
      <c r="A39" s="131" t="s">
        <v>310</v>
      </c>
      <c r="B39" s="132" t="s">
        <v>195</v>
      </c>
      <c r="C39" s="133">
        <f>Legend!$C$5+45</f>
        <v>46127</v>
      </c>
      <c r="D39" s="133" t="s">
        <v>274</v>
      </c>
      <c r="E39" s="46" t="s">
        <v>309</v>
      </c>
      <c r="F39" s="18" t="s">
        <v>0</v>
      </c>
      <c r="G39" s="19" t="s">
        <v>0</v>
      </c>
      <c r="H39" s="19" t="s">
        <v>0</v>
      </c>
      <c r="I39" s="55"/>
      <c r="J39" s="55"/>
      <c r="K39" s="55"/>
    </row>
    <row r="40" spans="1:11" ht="19.899999999999999" customHeight="1">
      <c r="F40" s="60"/>
      <c r="G40" s="60"/>
    </row>
    <row r="41" spans="1:11" ht="19.899999999999999" customHeight="1">
      <c r="G41" s="61"/>
      <c r="H41" s="61"/>
    </row>
    <row r="42" spans="1:11" customFormat="1" ht="18">
      <c r="A42" s="2" t="s">
        <v>222</v>
      </c>
      <c r="B42" s="22"/>
      <c r="C42" s="81"/>
      <c r="D42" s="81"/>
      <c r="E42" s="47"/>
      <c r="F42" s="14"/>
      <c r="G42" s="14"/>
      <c r="H42" s="14"/>
    </row>
    <row r="43" spans="1:11" customFormat="1" ht="15">
      <c r="A43" s="15" t="s">
        <v>2</v>
      </c>
      <c r="B43" s="23" t="s">
        <v>135</v>
      </c>
      <c r="C43" s="82" t="s">
        <v>135</v>
      </c>
      <c r="D43" s="82" t="s">
        <v>273</v>
      </c>
      <c r="E43" s="16" t="s">
        <v>3</v>
      </c>
      <c r="F43" s="16" t="s">
        <v>4</v>
      </c>
      <c r="G43" s="16" t="s">
        <v>5</v>
      </c>
      <c r="H43" s="16" t="s">
        <v>6</v>
      </c>
    </row>
    <row r="44" spans="1:11" ht="19.899999999999999" customHeight="1">
      <c r="A44" s="56" t="s">
        <v>311</v>
      </c>
      <c r="B44" s="62" t="s">
        <v>211</v>
      </c>
      <c r="C44" s="106">
        <f>Legend!$C$11-7</f>
        <v>46123</v>
      </c>
      <c r="D44" s="106" t="s">
        <v>277</v>
      </c>
      <c r="E44" s="76" t="s">
        <v>312</v>
      </c>
      <c r="F44" s="48" t="s">
        <v>0</v>
      </c>
      <c r="G44" s="54" t="s">
        <v>0</v>
      </c>
      <c r="H44" s="54" t="s">
        <v>0</v>
      </c>
      <c r="I44" s="55"/>
      <c r="J44" s="55"/>
      <c r="K44" s="55"/>
    </row>
    <row r="45" spans="1:11" ht="19.899999999999999" customHeight="1">
      <c r="G45" s="61"/>
      <c r="H45" s="61"/>
    </row>
    <row r="46" spans="1:11" ht="19.899999999999999" customHeight="1">
      <c r="A46" s="4" t="s">
        <v>33</v>
      </c>
    </row>
    <row r="47" spans="1:11" ht="19.899999999999999" customHeight="1">
      <c r="A47" s="15" t="s">
        <v>2</v>
      </c>
      <c r="B47" s="23" t="s">
        <v>135</v>
      </c>
      <c r="C47" s="82" t="s">
        <v>135</v>
      </c>
      <c r="D47" s="82" t="s">
        <v>273</v>
      </c>
      <c r="E47" s="16" t="s">
        <v>3</v>
      </c>
      <c r="F47" s="16" t="s">
        <v>4</v>
      </c>
      <c r="G47" s="16" t="s">
        <v>5</v>
      </c>
      <c r="H47" s="16" t="s">
        <v>6</v>
      </c>
    </row>
    <row r="48" spans="1:11" ht="19.899999999999999" customHeight="1">
      <c r="A48" s="17" t="s">
        <v>315</v>
      </c>
      <c r="B48" s="32" t="s">
        <v>206</v>
      </c>
      <c r="C48" s="93">
        <f>Legend!$C$9+1</f>
        <v>46102</v>
      </c>
      <c r="D48" s="93" t="s">
        <v>277</v>
      </c>
      <c r="E48" s="18" t="s">
        <v>316</v>
      </c>
      <c r="F48" s="18" t="s">
        <v>0</v>
      </c>
      <c r="G48" s="19" t="s">
        <v>0</v>
      </c>
      <c r="H48" s="19" t="s">
        <v>0</v>
      </c>
    </row>
    <row r="49" spans="1:8" ht="19.899999999999999" customHeight="1">
      <c r="A49" s="17" t="s">
        <v>38</v>
      </c>
      <c r="B49" s="32" t="s">
        <v>206</v>
      </c>
      <c r="C49" s="93">
        <f>Legend!$C$9+1</f>
        <v>46102</v>
      </c>
      <c r="D49" s="93" t="s">
        <v>277</v>
      </c>
      <c r="E49" s="18" t="s">
        <v>0</v>
      </c>
      <c r="F49" s="18" t="s">
        <v>0</v>
      </c>
      <c r="G49" s="19" t="s">
        <v>0</v>
      </c>
      <c r="H49" s="19" t="s">
        <v>0</v>
      </c>
    </row>
    <row r="50" spans="1:8" ht="19.899999999999999" customHeight="1">
      <c r="A50" s="17" t="s">
        <v>41</v>
      </c>
      <c r="B50" s="40" t="s">
        <v>186</v>
      </c>
      <c r="C50" s="110">
        <f>Legend!$C$9+30</f>
        <v>46131</v>
      </c>
      <c r="D50" s="110" t="s">
        <v>275</v>
      </c>
      <c r="E50" s="18" t="s">
        <v>16</v>
      </c>
      <c r="F50" s="18" t="s">
        <v>0</v>
      </c>
      <c r="G50" s="19" t="s">
        <v>0</v>
      </c>
      <c r="H50" s="19" t="s">
        <v>0</v>
      </c>
    </row>
    <row r="51" spans="1:8" ht="19.899999999999999" customHeight="1">
      <c r="A51" s="17" t="s">
        <v>317</v>
      </c>
      <c r="B51" s="35" t="s">
        <v>210</v>
      </c>
      <c r="C51" s="98">
        <f>Legend!$C$11-15</f>
        <v>46115</v>
      </c>
      <c r="D51" s="98" t="s">
        <v>275</v>
      </c>
      <c r="E51" s="18" t="s">
        <v>0</v>
      </c>
      <c r="F51" s="18" t="s">
        <v>0</v>
      </c>
      <c r="G51" s="19" t="s">
        <v>0</v>
      </c>
      <c r="H51" s="19" t="s">
        <v>0</v>
      </c>
    </row>
    <row r="52" spans="1:8" ht="40.15" customHeight="1"/>
    <row r="53" spans="1:8" ht="19.899999999999999" customHeight="1">
      <c r="A53" s="5" t="s">
        <v>46</v>
      </c>
    </row>
    <row r="54" spans="1:8" ht="19.899999999999999" customHeight="1">
      <c r="A54" s="15" t="s">
        <v>2</v>
      </c>
      <c r="B54" s="23" t="s">
        <v>135</v>
      </c>
      <c r="C54" s="82" t="s">
        <v>135</v>
      </c>
      <c r="D54" s="82" t="s">
        <v>273</v>
      </c>
      <c r="E54" s="16" t="s">
        <v>3</v>
      </c>
      <c r="F54" s="16" t="s">
        <v>4</v>
      </c>
      <c r="G54" s="16" t="s">
        <v>5</v>
      </c>
      <c r="H54" s="16" t="s">
        <v>6</v>
      </c>
    </row>
    <row r="55" spans="1:8" ht="19.899999999999999" customHeight="1">
      <c r="A55" s="17" t="s">
        <v>47</v>
      </c>
      <c r="B55" s="32" t="s">
        <v>206</v>
      </c>
      <c r="C55" s="93">
        <f>Legend!$C$9+1</f>
        <v>46102</v>
      </c>
      <c r="D55" s="93" t="s">
        <v>275</v>
      </c>
      <c r="E55" s="18" t="s">
        <v>16</v>
      </c>
      <c r="F55" s="18" t="s">
        <v>0</v>
      </c>
      <c r="G55" s="19" t="s">
        <v>0</v>
      </c>
      <c r="H55" s="19" t="s">
        <v>0</v>
      </c>
    </row>
    <row r="56" spans="1:8" ht="19.899999999999999" customHeight="1">
      <c r="A56" s="17" t="s">
        <v>49</v>
      </c>
      <c r="B56" s="33" t="s">
        <v>207</v>
      </c>
      <c r="C56" s="95">
        <f>Legend!$C$9+7</f>
        <v>46108</v>
      </c>
      <c r="D56" s="95" t="s">
        <v>275</v>
      </c>
      <c r="E56" s="18" t="s">
        <v>16</v>
      </c>
      <c r="F56" s="18" t="s">
        <v>0</v>
      </c>
      <c r="G56" s="19" t="s">
        <v>0</v>
      </c>
      <c r="H56" s="19" t="s">
        <v>0</v>
      </c>
    </row>
    <row r="57" spans="1:8" ht="19.899999999999999" customHeight="1">
      <c r="A57" s="17" t="s">
        <v>319</v>
      </c>
      <c r="B57" s="41" t="s">
        <v>215</v>
      </c>
      <c r="C57" s="111">
        <f>Legend!$C$9+15</f>
        <v>46116</v>
      </c>
      <c r="D57" s="111" t="s">
        <v>275</v>
      </c>
      <c r="E57" s="18" t="s">
        <v>16</v>
      </c>
      <c r="F57" s="18" t="s">
        <v>0</v>
      </c>
      <c r="G57" s="19" t="s">
        <v>0</v>
      </c>
      <c r="H57" s="19" t="s">
        <v>0</v>
      </c>
    </row>
    <row r="58" spans="1:8" ht="40.15" customHeight="1"/>
    <row r="59" spans="1:8" ht="19.899999999999999" customHeight="1">
      <c r="A59" s="6" t="s">
        <v>52</v>
      </c>
    </row>
    <row r="60" spans="1:8" ht="19.899999999999999" customHeight="1">
      <c r="A60" s="15" t="s">
        <v>2</v>
      </c>
      <c r="B60" s="23" t="s">
        <v>135</v>
      </c>
      <c r="C60" s="82" t="s">
        <v>135</v>
      </c>
      <c r="D60" s="82" t="s">
        <v>273</v>
      </c>
      <c r="E60" s="16" t="s">
        <v>3</v>
      </c>
      <c r="F60" s="16" t="s">
        <v>4</v>
      </c>
      <c r="G60" s="16" t="s">
        <v>5</v>
      </c>
      <c r="H60" s="16" t="s">
        <v>6</v>
      </c>
    </row>
    <row r="61" spans="1:8" ht="19.899999999999999" customHeight="1">
      <c r="A61" s="17" t="s">
        <v>320</v>
      </c>
      <c r="B61" s="32" t="s">
        <v>206</v>
      </c>
      <c r="C61" s="93">
        <f>Legend!$C$9+1</f>
        <v>46102</v>
      </c>
      <c r="D61" s="93" t="s">
        <v>277</v>
      </c>
      <c r="E61" s="18" t="s">
        <v>0</v>
      </c>
      <c r="F61" s="18" t="s">
        <v>0</v>
      </c>
      <c r="G61" s="19" t="s">
        <v>0</v>
      </c>
      <c r="H61" s="19" t="s">
        <v>0</v>
      </c>
    </row>
    <row r="62" spans="1:8" ht="19.899999999999999" customHeight="1">
      <c r="A62" s="17" t="s">
        <v>321</v>
      </c>
      <c r="B62" s="34" t="s">
        <v>208</v>
      </c>
      <c r="C62" s="96">
        <f>Legend!$C$11-30</f>
        <v>46100</v>
      </c>
      <c r="D62" s="96" t="s">
        <v>277</v>
      </c>
      <c r="E62" s="18" t="s">
        <v>0</v>
      </c>
      <c r="F62" s="18" t="s">
        <v>0</v>
      </c>
      <c r="G62" s="19" t="s">
        <v>0</v>
      </c>
      <c r="H62" s="19" t="s">
        <v>0</v>
      </c>
    </row>
    <row r="63" spans="1:8" ht="19.899999999999999" customHeight="1">
      <c r="A63" s="17" t="s">
        <v>55</v>
      </c>
      <c r="B63" s="36" t="s">
        <v>211</v>
      </c>
      <c r="C63" s="99">
        <f>Legend!$C$11-7</f>
        <v>46123</v>
      </c>
      <c r="D63" s="99" t="s">
        <v>275</v>
      </c>
      <c r="E63" s="18" t="s">
        <v>16</v>
      </c>
      <c r="F63" s="18" t="s">
        <v>0</v>
      </c>
      <c r="G63" s="19" t="s">
        <v>0</v>
      </c>
      <c r="H63" s="19" t="s">
        <v>0</v>
      </c>
    </row>
    <row r="64" spans="1:8" ht="19.899999999999999" customHeight="1">
      <c r="A64" s="17" t="s">
        <v>56</v>
      </c>
      <c r="B64" s="36" t="s">
        <v>211</v>
      </c>
      <c r="C64" s="99">
        <f>Legend!$C$11-7</f>
        <v>46123</v>
      </c>
      <c r="D64" s="99" t="s">
        <v>275</v>
      </c>
      <c r="E64" s="18" t="s">
        <v>0</v>
      </c>
      <c r="F64" s="18" t="s">
        <v>0</v>
      </c>
      <c r="G64" s="19" t="s">
        <v>0</v>
      </c>
      <c r="H64" s="19" t="s">
        <v>0</v>
      </c>
    </row>
    <row r="65" spans="1:8" ht="40.15" customHeight="1"/>
    <row r="66" spans="1:8" ht="19.899999999999999" customHeight="1">
      <c r="A66" s="7" t="s">
        <v>59</v>
      </c>
    </row>
    <row r="67" spans="1:8" ht="19.899999999999999" customHeight="1">
      <c r="A67" s="15" t="s">
        <v>2</v>
      </c>
      <c r="B67" s="23" t="s">
        <v>135</v>
      </c>
      <c r="C67" s="82" t="s">
        <v>135</v>
      </c>
      <c r="D67" s="82" t="s">
        <v>273</v>
      </c>
      <c r="E67" s="16" t="s">
        <v>3</v>
      </c>
      <c r="F67" s="16" t="s">
        <v>4</v>
      </c>
      <c r="G67" s="16" t="s">
        <v>5</v>
      </c>
      <c r="H67" s="16" t="s">
        <v>6</v>
      </c>
    </row>
    <row r="68" spans="1:8" ht="19.899999999999999" customHeight="1">
      <c r="A68" s="17" t="s">
        <v>322</v>
      </c>
      <c r="B68" s="32" t="s">
        <v>206</v>
      </c>
      <c r="C68" s="93">
        <f>Legend!$C$9+1</f>
        <v>46102</v>
      </c>
      <c r="D68" s="93" t="s">
        <v>274</v>
      </c>
      <c r="E68" s="18" t="s">
        <v>0</v>
      </c>
      <c r="F68" s="18" t="s">
        <v>0</v>
      </c>
      <c r="G68" s="19" t="s">
        <v>0</v>
      </c>
      <c r="H68" s="19" t="s">
        <v>0</v>
      </c>
    </row>
    <row r="69" spans="1:8" ht="19.899999999999999" customHeight="1">
      <c r="A69" s="17" t="s">
        <v>323</v>
      </c>
      <c r="B69" s="41" t="s">
        <v>215</v>
      </c>
      <c r="C69" s="111">
        <f>Legend!$C$9+15</f>
        <v>46116</v>
      </c>
      <c r="D69" s="111" t="s">
        <v>277</v>
      </c>
      <c r="E69" s="18" t="s">
        <v>0</v>
      </c>
      <c r="F69" s="18" t="s">
        <v>0</v>
      </c>
      <c r="G69" s="19" t="s">
        <v>0</v>
      </c>
      <c r="H69" s="19" t="s">
        <v>0</v>
      </c>
    </row>
    <row r="70" spans="1:8" ht="19.899999999999999" customHeight="1">
      <c r="A70" s="17" t="s">
        <v>61</v>
      </c>
      <c r="B70" s="34" t="s">
        <v>208</v>
      </c>
      <c r="C70" s="96">
        <f>Legend!$C$11-30</f>
        <v>46100</v>
      </c>
      <c r="D70" s="96" t="s">
        <v>275</v>
      </c>
      <c r="E70" s="18" t="s">
        <v>16</v>
      </c>
      <c r="F70" s="18" t="s">
        <v>0</v>
      </c>
      <c r="G70" s="19" t="s">
        <v>0</v>
      </c>
      <c r="H70" s="19" t="s">
        <v>0</v>
      </c>
    </row>
    <row r="71" spans="1:8" ht="19.899999999999999" customHeight="1">
      <c r="A71" s="17" t="s">
        <v>324</v>
      </c>
      <c r="B71" s="35" t="s">
        <v>210</v>
      </c>
      <c r="C71" s="98">
        <f>Legend!$C$11-15</f>
        <v>46115</v>
      </c>
      <c r="D71" s="98" t="s">
        <v>275</v>
      </c>
      <c r="E71" s="18"/>
      <c r="F71" s="18" t="s">
        <v>0</v>
      </c>
      <c r="G71" s="19" t="s">
        <v>0</v>
      </c>
      <c r="H71" s="19" t="s">
        <v>0</v>
      </c>
    </row>
    <row r="72" spans="1:8" ht="40.15" customHeight="1"/>
    <row r="73" spans="1:8" ht="19.899999999999999" customHeight="1">
      <c r="A73" s="8" t="s">
        <v>62</v>
      </c>
    </row>
    <row r="74" spans="1:8" ht="19.899999999999999" customHeight="1">
      <c r="A74" s="15" t="s">
        <v>2</v>
      </c>
      <c r="B74" s="23" t="s">
        <v>135</v>
      </c>
      <c r="C74" s="82" t="s">
        <v>135</v>
      </c>
      <c r="D74" s="82" t="s">
        <v>273</v>
      </c>
      <c r="E74" s="16" t="s">
        <v>3</v>
      </c>
      <c r="F74" s="16" t="s">
        <v>4</v>
      </c>
      <c r="G74" s="16" t="s">
        <v>5</v>
      </c>
      <c r="H74" s="16" t="s">
        <v>6</v>
      </c>
    </row>
    <row r="75" spans="1:8" ht="19.899999999999999" customHeight="1">
      <c r="A75" s="17" t="s">
        <v>325</v>
      </c>
      <c r="B75" s="42" t="s">
        <v>216</v>
      </c>
      <c r="C75" s="112">
        <f>Legend!$C$9</f>
        <v>46101</v>
      </c>
      <c r="D75" s="112" t="s">
        <v>277</v>
      </c>
      <c r="E75" s="18"/>
      <c r="F75" s="18"/>
      <c r="G75" s="19"/>
      <c r="H75" s="19"/>
    </row>
    <row r="76" spans="1:8" ht="19.899999999999999" customHeight="1">
      <c r="A76" s="17" t="s">
        <v>326</v>
      </c>
      <c r="B76" s="34" t="s">
        <v>208</v>
      </c>
      <c r="C76" s="96">
        <f>Legend!$C$11-30</f>
        <v>46100</v>
      </c>
      <c r="D76" s="96" t="s">
        <v>277</v>
      </c>
      <c r="E76" s="18" t="s">
        <v>0</v>
      </c>
      <c r="F76" s="18" t="s">
        <v>0</v>
      </c>
      <c r="G76" s="19" t="s">
        <v>0</v>
      </c>
      <c r="H76" s="19" t="s">
        <v>0</v>
      </c>
    </row>
    <row r="77" spans="1:8" ht="19.899999999999999" customHeight="1">
      <c r="A77" s="17" t="s">
        <v>327</v>
      </c>
      <c r="B77" s="35" t="s">
        <v>210</v>
      </c>
      <c r="C77" s="98">
        <f>Legend!$C$11-15</f>
        <v>46115</v>
      </c>
      <c r="D77" s="98" t="s">
        <v>275</v>
      </c>
      <c r="E77" s="18" t="s">
        <v>328</v>
      </c>
      <c r="F77" s="18" t="s">
        <v>0</v>
      </c>
      <c r="G77" s="19" t="s">
        <v>0</v>
      </c>
      <c r="H77" s="19" t="s">
        <v>0</v>
      </c>
    </row>
    <row r="78" spans="1:8" ht="19.899999999999999" customHeight="1">
      <c r="A78" s="17" t="s">
        <v>329</v>
      </c>
      <c r="B78" s="36" t="s">
        <v>211</v>
      </c>
      <c r="C78" s="99">
        <f>Legend!$C$11-7</f>
        <v>46123</v>
      </c>
      <c r="D78" s="99" t="s">
        <v>275</v>
      </c>
      <c r="E78" s="18" t="s">
        <v>68</v>
      </c>
      <c r="F78" s="18" t="s">
        <v>0</v>
      </c>
      <c r="G78" s="19" t="s">
        <v>0</v>
      </c>
      <c r="H78" s="19" t="s">
        <v>0</v>
      </c>
    </row>
    <row r="79" spans="1:8" ht="40.15" customHeight="1"/>
    <row r="80" spans="1:8" ht="19.899999999999999" customHeight="1">
      <c r="A80" s="9" t="s">
        <v>75</v>
      </c>
    </row>
    <row r="81" spans="1:8" ht="19.899999999999999" customHeight="1">
      <c r="A81" s="15" t="s">
        <v>2</v>
      </c>
      <c r="B81" s="23" t="s">
        <v>135</v>
      </c>
      <c r="C81" s="82" t="s">
        <v>135</v>
      </c>
      <c r="D81" s="82" t="s">
        <v>273</v>
      </c>
      <c r="E81" s="16" t="s">
        <v>3</v>
      </c>
      <c r="F81" s="16" t="s">
        <v>4</v>
      </c>
      <c r="G81" s="16" t="s">
        <v>5</v>
      </c>
      <c r="H81" s="16" t="s">
        <v>6</v>
      </c>
    </row>
    <row r="82" spans="1:8" ht="19.899999999999999" customHeight="1">
      <c r="A82" s="17" t="s">
        <v>76</v>
      </c>
      <c r="B82" s="42" t="s">
        <v>216</v>
      </c>
      <c r="C82" s="112">
        <f>Legend!$C$9</f>
        <v>46101</v>
      </c>
      <c r="D82" s="112" t="s">
        <v>277</v>
      </c>
      <c r="E82" s="18" t="s">
        <v>0</v>
      </c>
      <c r="F82" s="18" t="s">
        <v>0</v>
      </c>
      <c r="G82" s="19" t="s">
        <v>0</v>
      </c>
      <c r="H82" s="19" t="s">
        <v>0</v>
      </c>
    </row>
    <row r="83" spans="1:8" ht="19.899999999999999" customHeight="1">
      <c r="A83" s="17" t="s">
        <v>77</v>
      </c>
      <c r="B83" s="33" t="s">
        <v>207</v>
      </c>
      <c r="C83" s="95">
        <f>Legend!$C$9+7</f>
        <v>46108</v>
      </c>
      <c r="D83" s="95" t="s">
        <v>277</v>
      </c>
      <c r="E83" s="18" t="s">
        <v>78</v>
      </c>
      <c r="F83" s="18" t="s">
        <v>0</v>
      </c>
      <c r="G83" s="19" t="s">
        <v>0</v>
      </c>
      <c r="H83" s="19" t="s">
        <v>0</v>
      </c>
    </row>
    <row r="84" spans="1:8" ht="19.899999999999999" customHeight="1">
      <c r="A84" s="17" t="s">
        <v>79</v>
      </c>
      <c r="B84" s="41" t="s">
        <v>215</v>
      </c>
      <c r="C84" s="111">
        <f>Legend!$C$9+15</f>
        <v>46116</v>
      </c>
      <c r="D84" s="111" t="s">
        <v>277</v>
      </c>
      <c r="E84" s="18" t="s">
        <v>0</v>
      </c>
      <c r="F84" s="18" t="s">
        <v>0</v>
      </c>
      <c r="G84" s="19" t="s">
        <v>0</v>
      </c>
      <c r="H84" s="19" t="s">
        <v>0</v>
      </c>
    </row>
    <row r="85" spans="1:8" ht="19.899999999999999" customHeight="1">
      <c r="A85" s="17" t="s">
        <v>80</v>
      </c>
      <c r="B85" s="40" t="s">
        <v>186</v>
      </c>
      <c r="C85" s="110">
        <f>Legend!$C$9+30</f>
        <v>46131</v>
      </c>
      <c r="D85" s="110" t="s">
        <v>275</v>
      </c>
      <c r="E85" s="18" t="s">
        <v>81</v>
      </c>
      <c r="F85" s="18" t="s">
        <v>0</v>
      </c>
      <c r="G85" s="19" t="s">
        <v>0</v>
      </c>
      <c r="H85" s="19" t="s">
        <v>0</v>
      </c>
    </row>
    <row r="86" spans="1:8" ht="19.899999999999999" customHeight="1">
      <c r="A86" s="17" t="s">
        <v>61</v>
      </c>
      <c r="B86" s="34" t="s">
        <v>208</v>
      </c>
      <c r="C86" s="96">
        <f>Legend!$C$11-30</f>
        <v>46100</v>
      </c>
      <c r="D86" s="96" t="s">
        <v>275</v>
      </c>
      <c r="E86" s="18" t="s">
        <v>0</v>
      </c>
      <c r="F86" s="18" t="s">
        <v>0</v>
      </c>
      <c r="G86" s="19" t="s">
        <v>0</v>
      </c>
      <c r="H86" s="19" t="s">
        <v>0</v>
      </c>
    </row>
    <row r="87" spans="1:8" ht="19.899999999999999" customHeight="1">
      <c r="A87" s="17" t="s">
        <v>149</v>
      </c>
      <c r="B87" s="35" t="s">
        <v>210</v>
      </c>
      <c r="C87" s="98">
        <f>Legend!$C$11-15</f>
        <v>46115</v>
      </c>
      <c r="D87" s="98" t="s">
        <v>275</v>
      </c>
      <c r="E87" s="18" t="s">
        <v>0</v>
      </c>
      <c r="F87" s="18" t="s">
        <v>0</v>
      </c>
      <c r="G87" s="19" t="s">
        <v>0</v>
      </c>
      <c r="H87" s="19" t="s">
        <v>0</v>
      </c>
    </row>
    <row r="88" spans="1:8" ht="19.899999999999999" customHeight="1">
      <c r="A88" s="17" t="s">
        <v>150</v>
      </c>
      <c r="B88" s="36" t="s">
        <v>211</v>
      </c>
      <c r="C88" s="99">
        <f>Legend!$C$11-7</f>
        <v>46123</v>
      </c>
      <c r="D88" s="99" t="s">
        <v>275</v>
      </c>
      <c r="E88" s="18" t="s">
        <v>81</v>
      </c>
      <c r="F88" s="18" t="s">
        <v>0</v>
      </c>
      <c r="G88" s="19" t="s">
        <v>0</v>
      </c>
      <c r="H88" s="19" t="s">
        <v>0</v>
      </c>
    </row>
    <row r="89" spans="1:8" ht="19.899999999999999" customHeight="1">
      <c r="A89" s="17" t="s">
        <v>151</v>
      </c>
      <c r="B89" s="37" t="s">
        <v>214</v>
      </c>
      <c r="C89" s="100">
        <f>Legend!$C$11-1</f>
        <v>46129</v>
      </c>
      <c r="D89" s="100" t="s">
        <v>275</v>
      </c>
      <c r="E89" s="18" t="s">
        <v>0</v>
      </c>
      <c r="F89" s="18" t="s">
        <v>0</v>
      </c>
      <c r="G89" s="19" t="s">
        <v>0</v>
      </c>
      <c r="H89" s="19" t="s">
        <v>0</v>
      </c>
    </row>
    <row r="90" spans="1:8" ht="19.899999999999999" customHeight="1">
      <c r="A90" s="137" t="s">
        <v>297</v>
      </c>
      <c r="B90" s="138"/>
      <c r="C90" s="138"/>
      <c r="D90" s="138"/>
      <c r="E90" s="139"/>
      <c r="F90" s="20" t="s">
        <v>0</v>
      </c>
      <c r="G90" s="21"/>
      <c r="H90" s="21"/>
    </row>
    <row r="91" spans="1:8" ht="40.15" customHeight="1"/>
    <row r="92" spans="1:8" ht="19.899999999999999" customHeight="1">
      <c r="A92" s="9" t="s">
        <v>82</v>
      </c>
    </row>
    <row r="93" spans="1:8" ht="19.899999999999999" customHeight="1">
      <c r="A93" s="15" t="s">
        <v>2</v>
      </c>
      <c r="B93" s="23" t="s">
        <v>135</v>
      </c>
      <c r="C93" s="82" t="s">
        <v>135</v>
      </c>
      <c r="D93" s="82" t="s">
        <v>273</v>
      </c>
      <c r="E93" s="16" t="s">
        <v>3</v>
      </c>
      <c r="F93" s="16" t="s">
        <v>4</v>
      </c>
      <c r="G93" s="16" t="s">
        <v>5</v>
      </c>
      <c r="H93" s="16" t="s">
        <v>6</v>
      </c>
    </row>
    <row r="94" spans="1:8" ht="19.899999999999999" customHeight="1">
      <c r="A94" s="17" t="s">
        <v>85</v>
      </c>
      <c r="B94" s="41" t="s">
        <v>215</v>
      </c>
      <c r="C94" s="111">
        <f>Legend!$C$9+15</f>
        <v>46116</v>
      </c>
      <c r="D94" s="111" t="s">
        <v>277</v>
      </c>
      <c r="E94" s="18" t="s">
        <v>81</v>
      </c>
      <c r="F94" s="18" t="s">
        <v>0</v>
      </c>
      <c r="G94" s="19" t="s">
        <v>0</v>
      </c>
      <c r="H94" s="19" t="s">
        <v>0</v>
      </c>
    </row>
    <row r="95" spans="1:8" ht="19.899999999999999" customHeight="1">
      <c r="A95" s="17" t="s">
        <v>61</v>
      </c>
      <c r="B95" s="34" t="s">
        <v>208</v>
      </c>
      <c r="C95" s="96">
        <f>Legend!$C$11-30</f>
        <v>46100</v>
      </c>
      <c r="D95" s="96" t="s">
        <v>277</v>
      </c>
      <c r="E95" s="18" t="s">
        <v>0</v>
      </c>
      <c r="F95" s="18" t="s">
        <v>0</v>
      </c>
      <c r="G95" s="19" t="s">
        <v>0</v>
      </c>
      <c r="H95" s="19" t="s">
        <v>0</v>
      </c>
    </row>
    <row r="96" spans="1:8" ht="40.15" customHeight="1"/>
    <row r="97" spans="1:8" ht="19.899999999999999" customHeight="1">
      <c r="A97" s="10" t="s">
        <v>86</v>
      </c>
    </row>
    <row r="98" spans="1:8" ht="19.899999999999999" customHeight="1">
      <c r="A98" s="15" t="s">
        <v>2</v>
      </c>
      <c r="B98" s="23" t="s">
        <v>135</v>
      </c>
      <c r="C98" s="82" t="s">
        <v>135</v>
      </c>
      <c r="D98" s="82" t="s">
        <v>273</v>
      </c>
      <c r="E98" s="16" t="s">
        <v>3</v>
      </c>
      <c r="F98" s="16" t="s">
        <v>4</v>
      </c>
      <c r="G98" s="16" t="s">
        <v>5</v>
      </c>
      <c r="H98" s="16" t="s">
        <v>6</v>
      </c>
    </row>
    <row r="99" spans="1:8" ht="19.899999999999999" customHeight="1">
      <c r="A99" s="17" t="s">
        <v>335</v>
      </c>
      <c r="B99" s="41" t="s">
        <v>215</v>
      </c>
      <c r="C99" s="111">
        <f>Legend!$C$9+15</f>
        <v>46116</v>
      </c>
      <c r="D99" s="111" t="s">
        <v>277</v>
      </c>
      <c r="E99" s="18" t="s">
        <v>0</v>
      </c>
      <c r="F99" s="18" t="s">
        <v>0</v>
      </c>
      <c r="G99" s="19" t="s">
        <v>0</v>
      </c>
      <c r="H99" s="19" t="s">
        <v>0</v>
      </c>
    </row>
    <row r="100" spans="1:8" ht="19.899999999999999" customHeight="1">
      <c r="A100" s="17" t="s">
        <v>90</v>
      </c>
      <c r="B100" s="34" t="s">
        <v>208</v>
      </c>
      <c r="C100" s="96">
        <f>Legend!$C$11-30</f>
        <v>46100</v>
      </c>
      <c r="D100" s="96" t="s">
        <v>275</v>
      </c>
      <c r="E100" s="18" t="s">
        <v>0</v>
      </c>
      <c r="F100" s="18" t="s">
        <v>0</v>
      </c>
      <c r="G100" s="19" t="s">
        <v>0</v>
      </c>
      <c r="H100" s="19" t="s">
        <v>0</v>
      </c>
    </row>
    <row r="101" spans="1:8" ht="19.899999999999999" customHeight="1">
      <c r="A101" s="17" t="s">
        <v>336</v>
      </c>
      <c r="B101" s="34" t="s">
        <v>208</v>
      </c>
      <c r="C101" s="96">
        <f>Legend!$C$11-30</f>
        <v>46100</v>
      </c>
      <c r="D101" s="96" t="s">
        <v>275</v>
      </c>
      <c r="E101" s="18" t="s">
        <v>0</v>
      </c>
      <c r="F101" s="18" t="s">
        <v>0</v>
      </c>
      <c r="G101" s="19" t="s">
        <v>0</v>
      </c>
      <c r="H101" s="19" t="s">
        <v>0</v>
      </c>
    </row>
    <row r="102" spans="1:8" ht="19.899999999999999" customHeight="1">
      <c r="A102" s="17" t="s">
        <v>337</v>
      </c>
      <c r="B102" s="34" t="s">
        <v>208</v>
      </c>
      <c r="C102" s="96">
        <f>Legend!$C$11-30</f>
        <v>46100</v>
      </c>
      <c r="D102" s="96" t="s">
        <v>275</v>
      </c>
      <c r="E102" s="18" t="s">
        <v>0</v>
      </c>
      <c r="F102" s="18" t="s">
        <v>0</v>
      </c>
      <c r="G102" s="19" t="s">
        <v>0</v>
      </c>
      <c r="H102" s="19" t="s">
        <v>0</v>
      </c>
    </row>
    <row r="103" spans="1:8" ht="28.5">
      <c r="A103" s="134" t="s">
        <v>338</v>
      </c>
      <c r="B103" s="35" t="s">
        <v>210</v>
      </c>
      <c r="C103" s="98">
        <f>Legend!$C$11-15</f>
        <v>46115</v>
      </c>
      <c r="D103" s="98" t="s">
        <v>275</v>
      </c>
      <c r="E103" s="18" t="s">
        <v>0</v>
      </c>
      <c r="F103" s="18" t="s">
        <v>0</v>
      </c>
      <c r="G103" s="19" t="s">
        <v>0</v>
      </c>
      <c r="H103" s="19" t="s">
        <v>0</v>
      </c>
    </row>
    <row r="104" spans="1:8" ht="19.899999999999999" customHeight="1">
      <c r="A104" s="20" t="s">
        <v>340</v>
      </c>
      <c r="B104" s="34" t="s">
        <v>208</v>
      </c>
      <c r="C104" s="96">
        <f>Legend!$C$11-30</f>
        <v>46100</v>
      </c>
      <c r="D104" s="96" t="s">
        <v>275</v>
      </c>
      <c r="E104" s="18" t="s">
        <v>0</v>
      </c>
      <c r="F104" s="18" t="s">
        <v>0</v>
      </c>
      <c r="G104" s="19" t="s">
        <v>0</v>
      </c>
      <c r="H104" s="19" t="s">
        <v>0</v>
      </c>
    </row>
    <row r="105" spans="1:8" ht="40.15" customHeight="1"/>
    <row r="106" spans="1:8" s="55" customFormat="1" ht="19.899999999999999" customHeight="1">
      <c r="B106" s="69"/>
      <c r="C106" s="118"/>
      <c r="D106" s="118"/>
      <c r="E106" s="75"/>
      <c r="G106" s="61"/>
      <c r="H106" s="61"/>
    </row>
    <row r="107" spans="1:8" s="55" customFormat="1" ht="19.899999999999999" customHeight="1">
      <c r="A107" s="67" t="s">
        <v>331</v>
      </c>
      <c r="B107" s="69"/>
      <c r="C107" s="118"/>
      <c r="D107" s="118"/>
      <c r="E107" s="75"/>
      <c r="G107" s="61"/>
      <c r="H107" s="61"/>
    </row>
    <row r="108" spans="1:8" s="55" customFormat="1" ht="19.899999999999999" customHeight="1">
      <c r="A108" s="15" t="s">
        <v>2</v>
      </c>
      <c r="B108" s="23" t="s">
        <v>135</v>
      </c>
      <c r="C108" s="82" t="s">
        <v>135</v>
      </c>
      <c r="D108" s="82" t="s">
        <v>273</v>
      </c>
      <c r="E108" s="16" t="s">
        <v>3</v>
      </c>
      <c r="F108" s="16" t="s">
        <v>4</v>
      </c>
      <c r="G108" s="16" t="s">
        <v>5</v>
      </c>
      <c r="H108" s="16" t="s">
        <v>6</v>
      </c>
    </row>
    <row r="109" spans="1:8" s="55" customFormat="1" ht="19.899999999999999" customHeight="1">
      <c r="A109" s="64" t="s">
        <v>332</v>
      </c>
      <c r="B109" s="65"/>
      <c r="C109" s="109"/>
      <c r="D109" s="109"/>
      <c r="E109" s="48"/>
      <c r="F109" s="64"/>
      <c r="G109" s="60"/>
      <c r="H109" s="60"/>
    </row>
    <row r="110" spans="1:8" s="55" customFormat="1" ht="19.899999999999999" customHeight="1">
      <c r="A110" s="64" t="s">
        <v>333</v>
      </c>
      <c r="B110" s="65"/>
      <c r="C110" s="109"/>
      <c r="D110" s="109"/>
      <c r="E110" s="48"/>
      <c r="F110" s="64"/>
      <c r="G110" s="60"/>
      <c r="H110" s="60"/>
    </row>
    <row r="111" spans="1:8" s="55" customFormat="1" ht="19.899999999999999" customHeight="1">
      <c r="A111" s="64" t="s">
        <v>334</v>
      </c>
      <c r="B111" s="65"/>
      <c r="C111" s="109"/>
      <c r="D111" s="109"/>
      <c r="E111" s="48"/>
      <c r="F111" s="64"/>
      <c r="G111" s="60"/>
      <c r="H111" s="60"/>
    </row>
    <row r="112" spans="1:8" s="55" customFormat="1" ht="15">
      <c r="A112" s="56" t="s">
        <v>255</v>
      </c>
      <c r="B112" s="74" t="s">
        <v>267</v>
      </c>
      <c r="C112" s="117">
        <f>Legend!$C$12+15</f>
        <v>46249</v>
      </c>
      <c r="D112" s="117" t="s">
        <v>275</v>
      </c>
      <c r="E112" s="76" t="s">
        <v>260</v>
      </c>
      <c r="F112" s="48" t="s">
        <v>0</v>
      </c>
      <c r="G112" s="54" t="s">
        <v>0</v>
      </c>
      <c r="H112" s="54" t="s">
        <v>0</v>
      </c>
    </row>
    <row r="113" spans="1:8" s="55" customFormat="1" ht="15">
      <c r="A113" s="56" t="s">
        <v>256</v>
      </c>
      <c r="B113" s="74" t="s">
        <v>267</v>
      </c>
      <c r="C113" s="117">
        <f>Legend!$C$12+15</f>
        <v>46249</v>
      </c>
      <c r="D113" s="117" t="s">
        <v>275</v>
      </c>
      <c r="E113" s="76" t="s">
        <v>261</v>
      </c>
      <c r="F113" s="48"/>
      <c r="G113" s="54"/>
      <c r="H113" s="54"/>
    </row>
    <row r="114" spans="1:8" s="55" customFormat="1" ht="15">
      <c r="A114" s="56" t="s">
        <v>257</v>
      </c>
      <c r="B114" s="74" t="s">
        <v>267</v>
      </c>
      <c r="C114" s="117">
        <f>Legend!$C$12+15</f>
        <v>46249</v>
      </c>
      <c r="D114" s="117" t="s">
        <v>275</v>
      </c>
      <c r="E114" s="76" t="s">
        <v>262</v>
      </c>
      <c r="F114" s="48"/>
      <c r="G114" s="54"/>
      <c r="H114" s="54"/>
    </row>
    <row r="115" spans="1:8" s="55" customFormat="1" ht="15">
      <c r="A115" s="56" t="s">
        <v>258</v>
      </c>
      <c r="B115" s="74" t="s">
        <v>267</v>
      </c>
      <c r="C115" s="117">
        <f>Legend!$C$12+15</f>
        <v>46249</v>
      </c>
      <c r="D115" s="117" t="s">
        <v>275</v>
      </c>
      <c r="E115" s="76" t="s">
        <v>343</v>
      </c>
      <c r="F115" s="48"/>
      <c r="G115" s="54"/>
      <c r="H115" s="54"/>
    </row>
    <row r="116" spans="1:8" s="55" customFormat="1" ht="15">
      <c r="A116" s="56" t="s">
        <v>259</v>
      </c>
      <c r="B116" s="74" t="s">
        <v>267</v>
      </c>
      <c r="C116" s="117">
        <f>Legend!$C$12+15</f>
        <v>46249</v>
      </c>
      <c r="D116" s="117" t="s">
        <v>275</v>
      </c>
      <c r="E116" s="76" t="s">
        <v>264</v>
      </c>
      <c r="F116" s="48"/>
      <c r="G116" s="54"/>
      <c r="H116" s="54"/>
    </row>
    <row r="117" spans="1:8" ht="15">
      <c r="A117" s="64" t="s">
        <v>0</v>
      </c>
      <c r="B117" s="65" t="s">
        <v>0</v>
      </c>
      <c r="C117" s="109" t="s">
        <v>0</v>
      </c>
      <c r="D117" s="109"/>
      <c r="E117" s="48" t="s">
        <v>0</v>
      </c>
      <c r="F117" s="64" t="s">
        <v>0</v>
      </c>
      <c r="G117" s="60"/>
      <c r="H117" s="60"/>
    </row>
    <row r="118" spans="1:8" ht="15">
      <c r="A118" s="55"/>
      <c r="B118" s="69"/>
      <c r="C118" s="118"/>
      <c r="D118" s="118"/>
      <c r="E118" s="75"/>
      <c r="F118" s="55"/>
      <c r="G118" s="61"/>
      <c r="H118" s="61"/>
    </row>
    <row r="119" spans="1:8" ht="15">
      <c r="A119" s="55"/>
      <c r="B119" s="69"/>
      <c r="C119" s="118"/>
      <c r="D119" s="118"/>
      <c r="E119" s="75"/>
      <c r="F119" s="55"/>
      <c r="G119" s="61"/>
      <c r="H119" s="61"/>
    </row>
    <row r="121" spans="1:8" ht="15">
      <c r="A121" s="136" t="s">
        <v>166</v>
      </c>
      <c r="B121" s="136"/>
      <c r="C121" s="136"/>
      <c r="D121" s="136"/>
      <c r="E121" s="136"/>
      <c r="F121" s="136"/>
    </row>
    <row r="122" spans="1:8" s="47" customFormat="1" ht="15">
      <c r="A122" s="48" t="s">
        <v>167</v>
      </c>
      <c r="B122" s="49" t="s">
        <v>268</v>
      </c>
      <c r="C122" s="119" t="s">
        <v>168</v>
      </c>
      <c r="D122" s="119"/>
      <c r="E122" s="48" t="s">
        <v>170</v>
      </c>
      <c r="F122" s="48" t="s">
        <v>169</v>
      </c>
    </row>
    <row r="123" spans="1:8" ht="42.75">
      <c r="A123" s="20" t="s">
        <v>171</v>
      </c>
      <c r="B123" s="30">
        <v>45679</v>
      </c>
      <c r="C123" s="91">
        <v>45679</v>
      </c>
      <c r="D123" s="91"/>
      <c r="E123" s="46" t="s">
        <v>172</v>
      </c>
      <c r="F123" s="20">
        <v>1</v>
      </c>
    </row>
    <row r="124" spans="1:8" ht="42.75">
      <c r="A124" s="20" t="s">
        <v>171</v>
      </c>
      <c r="B124" s="68" t="s">
        <v>244</v>
      </c>
      <c r="C124" s="91">
        <v>45845</v>
      </c>
      <c r="D124" s="91"/>
      <c r="E124" s="46" t="s">
        <v>269</v>
      </c>
      <c r="F124" s="20">
        <v>2</v>
      </c>
    </row>
    <row r="125" spans="1:8" ht="28.5">
      <c r="A125" s="20" t="s">
        <v>344</v>
      </c>
      <c r="B125" s="30"/>
      <c r="C125" s="91">
        <v>46105</v>
      </c>
      <c r="D125" s="91"/>
      <c r="E125" s="46" t="s">
        <v>345</v>
      </c>
      <c r="F125" s="20">
        <v>3</v>
      </c>
    </row>
    <row r="126" spans="1:8">
      <c r="A126" s="20"/>
      <c r="B126" s="30"/>
      <c r="C126" s="91"/>
      <c r="D126" s="91"/>
      <c r="E126" s="18"/>
      <c r="F126" s="20"/>
    </row>
    <row r="127" spans="1:8">
      <c r="A127" s="20"/>
      <c r="B127" s="30"/>
      <c r="C127" s="91"/>
      <c r="D127" s="91"/>
      <c r="E127" s="18"/>
      <c r="F127" s="20"/>
    </row>
    <row r="128" spans="1:8">
      <c r="A128" s="20"/>
      <c r="B128" s="30"/>
      <c r="C128" s="91"/>
      <c r="D128" s="91"/>
      <c r="E128" s="18"/>
      <c r="F128" s="20"/>
    </row>
  </sheetData>
  <mergeCells count="2">
    <mergeCell ref="A121:F121"/>
    <mergeCell ref="A90:E90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73C2-ECB0-4BE3-A649-4C06D1049DD7}">
  <dimension ref="A1:K142"/>
  <sheetViews>
    <sheetView showGridLines="0" showOutlineSymbols="0" showWhiteSpace="0" zoomScale="85" zoomScaleNormal="85" workbookViewId="0">
      <selection activeCell="A7" sqref="A7"/>
    </sheetView>
  </sheetViews>
  <sheetFormatPr defaultColWidth="8.75" defaultRowHeight="14.25"/>
  <cols>
    <col min="1" max="1" width="110.75" style="14" bestFit="1" customWidth="1"/>
    <col min="2" max="2" width="25" style="22" customWidth="1"/>
    <col min="3" max="3" width="17.375" style="81" bestFit="1" customWidth="1"/>
    <col min="4" max="4" width="17.375" style="81" customWidth="1"/>
    <col min="5" max="5" width="58.25" style="47" bestFit="1" customWidth="1"/>
    <col min="6" max="6" width="13.25" style="14" bestFit="1" customWidth="1"/>
    <col min="7" max="7" width="18.125" style="14" bestFit="1" customWidth="1"/>
    <col min="8" max="8" width="21.375" style="14" bestFit="1" customWidth="1"/>
    <col min="9" max="16384" width="8.75" style="14"/>
  </cols>
  <sheetData>
    <row r="1" spans="1:8" ht="40.15" customHeight="1">
      <c r="A1" s="1" t="s">
        <v>134</v>
      </c>
    </row>
    <row r="2" spans="1:8" ht="19.899999999999999" customHeight="1">
      <c r="A2" s="14" t="s">
        <v>0</v>
      </c>
      <c r="B2" s="22" t="s">
        <v>0</v>
      </c>
      <c r="C2" s="81" t="s">
        <v>0</v>
      </c>
      <c r="E2" s="47" t="s">
        <v>0</v>
      </c>
      <c r="F2" s="14" t="s">
        <v>0</v>
      </c>
      <c r="G2" s="14" t="s">
        <v>0</v>
      </c>
    </row>
    <row r="3" spans="1:8" ht="19.899999999999999" customHeight="1">
      <c r="A3" s="2" t="s">
        <v>1</v>
      </c>
    </row>
    <row r="4" spans="1:8" ht="19.899999999999999" customHeight="1">
      <c r="A4" s="15" t="s">
        <v>2</v>
      </c>
      <c r="B4" s="23" t="s">
        <v>135</v>
      </c>
      <c r="C4" s="82" t="s">
        <v>135</v>
      </c>
      <c r="D4" s="82" t="s">
        <v>273</v>
      </c>
      <c r="E4" s="16" t="s">
        <v>3</v>
      </c>
      <c r="F4" s="16" t="s">
        <v>4</v>
      </c>
      <c r="G4" s="16" t="s">
        <v>5</v>
      </c>
      <c r="H4" s="16" t="s">
        <v>6</v>
      </c>
    </row>
    <row r="5" spans="1:8" ht="19.899999999999999" customHeight="1">
      <c r="A5" s="17" t="s">
        <v>7</v>
      </c>
      <c r="B5" s="24" t="s">
        <v>177</v>
      </c>
      <c r="C5" s="83">
        <f>Legend!$C$5</f>
        <v>46082</v>
      </c>
      <c r="D5" s="83" t="s">
        <v>274</v>
      </c>
      <c r="E5" s="18" t="s">
        <v>0</v>
      </c>
      <c r="F5" s="18" t="s">
        <v>0</v>
      </c>
      <c r="G5" s="19" t="s">
        <v>0</v>
      </c>
      <c r="H5" s="19" t="s">
        <v>0</v>
      </c>
    </row>
    <row r="6" spans="1:8" ht="19.899999999999999" customHeight="1">
      <c r="A6" s="17" t="s">
        <v>8</v>
      </c>
      <c r="B6" s="25" t="s">
        <v>178</v>
      </c>
      <c r="C6" s="84">
        <f>Legend!$C$5+1</f>
        <v>46083</v>
      </c>
      <c r="D6" s="84" t="s">
        <v>274</v>
      </c>
      <c r="E6" s="18" t="s">
        <v>0</v>
      </c>
      <c r="F6" s="18" t="s">
        <v>0</v>
      </c>
      <c r="G6" s="19" t="s">
        <v>0</v>
      </c>
      <c r="H6" s="19" t="s">
        <v>0</v>
      </c>
    </row>
    <row r="7" spans="1:8" ht="19.899999999999999" customHeight="1">
      <c r="A7" s="17" t="s">
        <v>278</v>
      </c>
      <c r="B7" s="25" t="s">
        <v>178</v>
      </c>
      <c r="C7" s="84">
        <f>Legend!$C$5+1</f>
        <v>46083</v>
      </c>
      <c r="D7" s="84" t="s">
        <v>274</v>
      </c>
      <c r="E7" s="18" t="s">
        <v>279</v>
      </c>
      <c r="F7" s="18" t="s">
        <v>0</v>
      </c>
      <c r="G7" s="19" t="s">
        <v>0</v>
      </c>
      <c r="H7" s="19" t="s">
        <v>0</v>
      </c>
    </row>
    <row r="8" spans="1:8" ht="19.899999999999999" customHeight="1">
      <c r="A8" s="17" t="s">
        <v>280</v>
      </c>
      <c r="B8" s="26" t="s">
        <v>179</v>
      </c>
      <c r="C8" s="85">
        <f>Legend!$C$5+7</f>
        <v>46089</v>
      </c>
      <c r="D8" s="85" t="s">
        <v>274</v>
      </c>
      <c r="E8" s="18" t="s">
        <v>281</v>
      </c>
      <c r="F8" s="18" t="s">
        <v>0</v>
      </c>
      <c r="G8" s="19" t="s">
        <v>0</v>
      </c>
      <c r="H8" s="19" t="s">
        <v>0</v>
      </c>
    </row>
    <row r="9" spans="1:8" ht="19.899999999999999" customHeight="1">
      <c r="A9" s="17" t="s">
        <v>282</v>
      </c>
      <c r="B9" s="26" t="s">
        <v>179</v>
      </c>
      <c r="C9" s="85">
        <f>Legend!$C$5+7</f>
        <v>46089</v>
      </c>
      <c r="D9" s="85" t="s">
        <v>274</v>
      </c>
      <c r="E9" s="18" t="s">
        <v>283</v>
      </c>
      <c r="F9" s="18" t="s">
        <v>0</v>
      </c>
      <c r="G9" s="19" t="s">
        <v>0</v>
      </c>
      <c r="H9" s="19" t="s">
        <v>0</v>
      </c>
    </row>
    <row r="10" spans="1:8" ht="19.899999999999999" customHeight="1">
      <c r="A10" s="17" t="s">
        <v>284</v>
      </c>
      <c r="B10" s="28" t="s">
        <v>188</v>
      </c>
      <c r="C10" s="89">
        <f>Legend!$C$7</f>
        <v>46096</v>
      </c>
      <c r="D10" s="89" t="s">
        <v>274</v>
      </c>
      <c r="E10" s="18" t="s">
        <v>138</v>
      </c>
      <c r="F10" s="18" t="s">
        <v>0</v>
      </c>
      <c r="G10" s="19" t="s">
        <v>0</v>
      </c>
      <c r="H10" s="19" t="s">
        <v>0</v>
      </c>
    </row>
    <row r="11" spans="1:8" ht="19.899999999999999" customHeight="1">
      <c r="A11" s="17" t="s">
        <v>285</v>
      </c>
      <c r="B11" s="29" t="s">
        <v>189</v>
      </c>
      <c r="C11" s="90">
        <f>Legend!$C$7+15</f>
        <v>46111</v>
      </c>
      <c r="D11" s="90" t="s">
        <v>274</v>
      </c>
      <c r="E11" s="18" t="s">
        <v>286</v>
      </c>
      <c r="F11" s="18" t="s">
        <v>0</v>
      </c>
      <c r="G11" s="19" t="s">
        <v>0</v>
      </c>
      <c r="H11" s="19" t="s">
        <v>0</v>
      </c>
    </row>
    <row r="12" spans="1:8" ht="19.899999999999999" customHeight="1">
      <c r="G12" s="61"/>
      <c r="H12" s="61"/>
    </row>
    <row r="13" spans="1:8" ht="19.899999999999999" customHeight="1">
      <c r="A13" s="3" t="s">
        <v>287</v>
      </c>
    </row>
    <row r="14" spans="1:8" ht="19.899999999999999" customHeight="1">
      <c r="A14" s="15" t="s">
        <v>2</v>
      </c>
      <c r="B14" s="23" t="s">
        <v>135</v>
      </c>
      <c r="C14" s="82" t="s">
        <v>135</v>
      </c>
      <c r="D14" s="82" t="s">
        <v>273</v>
      </c>
      <c r="E14" s="16" t="s">
        <v>3</v>
      </c>
      <c r="F14" s="16" t="s">
        <v>4</v>
      </c>
      <c r="G14" s="16" t="s">
        <v>5</v>
      </c>
      <c r="H14" s="16" t="s">
        <v>6</v>
      </c>
    </row>
    <row r="15" spans="1:8" ht="19.899999999999999" customHeight="1">
      <c r="A15" s="17" t="s">
        <v>288</v>
      </c>
      <c r="B15" s="31" t="s">
        <v>205</v>
      </c>
      <c r="C15" s="92">
        <f>Legend!$C$11-90</f>
        <v>46040</v>
      </c>
      <c r="D15" s="92" t="s">
        <v>277</v>
      </c>
      <c r="E15" s="18" t="s">
        <v>290</v>
      </c>
      <c r="F15" s="18" t="s">
        <v>0</v>
      </c>
      <c r="G15" s="19" t="s">
        <v>0</v>
      </c>
      <c r="H15" s="19" t="s">
        <v>0</v>
      </c>
    </row>
    <row r="16" spans="1:8" ht="19.899999999999999" customHeight="1">
      <c r="A16" s="17" t="s">
        <v>289</v>
      </c>
      <c r="B16" s="31" t="s">
        <v>205</v>
      </c>
      <c r="C16" s="92">
        <f>Legend!$C$11-90</f>
        <v>46040</v>
      </c>
      <c r="D16" s="92" t="s">
        <v>277</v>
      </c>
      <c r="E16" s="18" t="s">
        <v>290</v>
      </c>
      <c r="F16" s="18" t="s">
        <v>0</v>
      </c>
      <c r="G16" s="19" t="s">
        <v>0</v>
      </c>
      <c r="H16" s="19" t="s">
        <v>0</v>
      </c>
    </row>
    <row r="18" spans="1:8" ht="19.899999999999999" customHeight="1">
      <c r="A18" s="3" t="s">
        <v>17</v>
      </c>
    </row>
    <row r="19" spans="1:8" ht="19.899999999999999" customHeight="1">
      <c r="A19" s="15" t="s">
        <v>2</v>
      </c>
      <c r="B19" s="23" t="s">
        <v>135</v>
      </c>
      <c r="C19" s="82" t="s">
        <v>135</v>
      </c>
      <c r="D19" s="82" t="s">
        <v>273</v>
      </c>
      <c r="E19" s="16" t="s">
        <v>3</v>
      </c>
      <c r="F19" s="16" t="s">
        <v>4</v>
      </c>
      <c r="G19" s="16" t="s">
        <v>5</v>
      </c>
      <c r="H19" s="16" t="s">
        <v>6</v>
      </c>
    </row>
    <row r="20" spans="1:8" ht="19.899999999999999" customHeight="1">
      <c r="A20" s="17" t="s">
        <v>291</v>
      </c>
      <c r="B20" s="31" t="s">
        <v>205</v>
      </c>
      <c r="C20" s="92">
        <f>Legend!$C$11-90</f>
        <v>46040</v>
      </c>
      <c r="D20" s="92" t="s">
        <v>277</v>
      </c>
      <c r="E20" s="18" t="s">
        <v>292</v>
      </c>
      <c r="F20" s="18" t="s">
        <v>0</v>
      </c>
      <c r="G20" s="19" t="s">
        <v>0</v>
      </c>
      <c r="H20" s="19" t="s">
        <v>0</v>
      </c>
    </row>
    <row r="21" spans="1:8" ht="19.899999999999999" customHeight="1">
      <c r="A21" s="17" t="s">
        <v>293</v>
      </c>
      <c r="B21" s="32" t="s">
        <v>206</v>
      </c>
      <c r="C21" s="93">
        <f>Legend!$C$9+1</f>
        <v>46102</v>
      </c>
      <c r="D21" s="93" t="s">
        <v>277</v>
      </c>
      <c r="E21" s="18" t="s">
        <v>294</v>
      </c>
      <c r="F21" s="18" t="s">
        <v>0</v>
      </c>
      <c r="G21" s="19" t="s">
        <v>0</v>
      </c>
      <c r="H21" s="19" t="s">
        <v>0</v>
      </c>
    </row>
    <row r="22" spans="1:8" ht="19.899999999999999" customHeight="1">
      <c r="A22" s="17" t="s">
        <v>295</v>
      </c>
      <c r="B22" s="33" t="s">
        <v>183</v>
      </c>
      <c r="C22" s="95">
        <f>Legend!$C$9+3</f>
        <v>46104</v>
      </c>
      <c r="D22" s="95" t="s">
        <v>277</v>
      </c>
      <c r="E22" s="18" t="s">
        <v>182</v>
      </c>
      <c r="F22" s="18"/>
      <c r="G22" s="19"/>
      <c r="H22" s="19"/>
    </row>
    <row r="23" spans="1:8" ht="19.899999999999999" customHeight="1">
      <c r="A23" s="17" t="s">
        <v>330</v>
      </c>
      <c r="B23" s="33" t="s">
        <v>207</v>
      </c>
      <c r="C23" s="95">
        <f>Legend!$C$9+7</f>
        <v>46108</v>
      </c>
      <c r="D23" s="95" t="s">
        <v>277</v>
      </c>
      <c r="E23" s="18" t="s">
        <v>296</v>
      </c>
      <c r="F23" s="18" t="s">
        <v>0</v>
      </c>
      <c r="G23" s="19" t="s">
        <v>0</v>
      </c>
      <c r="H23" s="19" t="s">
        <v>0</v>
      </c>
    </row>
    <row r="24" spans="1:8" ht="19.899999999999999" customHeight="1">
      <c r="A24" s="17" t="s">
        <v>299</v>
      </c>
      <c r="B24" s="34" t="s">
        <v>208</v>
      </c>
      <c r="C24" s="96">
        <f>Legend!$C$11-30</f>
        <v>46100</v>
      </c>
      <c r="D24" s="96" t="s">
        <v>277</v>
      </c>
      <c r="E24" s="18" t="s">
        <v>298</v>
      </c>
      <c r="F24" s="18" t="s">
        <v>0</v>
      </c>
      <c r="G24" s="19" t="s">
        <v>0</v>
      </c>
      <c r="H24" s="19" t="s">
        <v>0</v>
      </c>
    </row>
    <row r="25" spans="1:8" ht="19.899999999999999" customHeight="1">
      <c r="A25" s="17" t="s">
        <v>300</v>
      </c>
      <c r="B25" s="34" t="s">
        <v>208</v>
      </c>
      <c r="C25" s="96">
        <f>Legend!$C$11-30</f>
        <v>46100</v>
      </c>
      <c r="D25" s="96" t="s">
        <v>277</v>
      </c>
      <c r="E25" s="18" t="s">
        <v>0</v>
      </c>
      <c r="F25" s="18" t="s">
        <v>0</v>
      </c>
      <c r="G25" s="19" t="s">
        <v>0</v>
      </c>
      <c r="H25" s="19" t="s">
        <v>0</v>
      </c>
    </row>
    <row r="26" spans="1:8" ht="28.5">
      <c r="A26" s="17" t="s">
        <v>313</v>
      </c>
      <c r="B26" s="34"/>
      <c r="C26" s="96"/>
      <c r="D26" s="96" t="s">
        <v>277</v>
      </c>
      <c r="E26" s="46" t="s">
        <v>314</v>
      </c>
      <c r="F26" s="18"/>
      <c r="G26" s="19"/>
      <c r="H26" s="19"/>
    </row>
    <row r="27" spans="1:8" s="55" customFormat="1" ht="19.899999999999999" customHeight="1">
      <c r="A27" s="20" t="s">
        <v>301</v>
      </c>
      <c r="B27" s="34"/>
      <c r="C27" s="96">
        <f>Legend!$C$11-30</f>
        <v>46100</v>
      </c>
      <c r="D27" s="96" t="s">
        <v>277</v>
      </c>
      <c r="E27" s="64"/>
      <c r="F27" s="48"/>
      <c r="G27" s="54"/>
      <c r="H27" s="54"/>
    </row>
    <row r="28" spans="1:8" ht="19.899999999999999" customHeight="1">
      <c r="A28" s="17" t="s">
        <v>302</v>
      </c>
      <c r="B28" s="34" t="s">
        <v>208</v>
      </c>
      <c r="C28" s="96">
        <f>Legend!$C$11-30</f>
        <v>46100</v>
      </c>
      <c r="D28" s="96" t="s">
        <v>277</v>
      </c>
      <c r="E28" s="18" t="s">
        <v>303</v>
      </c>
      <c r="F28" s="18" t="s">
        <v>0</v>
      </c>
      <c r="G28" s="19" t="s">
        <v>0</v>
      </c>
      <c r="H28" s="19" t="s">
        <v>0</v>
      </c>
    </row>
    <row r="29" spans="1:8" ht="19.899999999999999" customHeight="1">
      <c r="A29" s="17" t="s">
        <v>23</v>
      </c>
      <c r="B29" s="35" t="s">
        <v>210</v>
      </c>
      <c r="C29" s="98">
        <f>Legend!$C$11-15</f>
        <v>46115</v>
      </c>
      <c r="D29" s="98" t="s">
        <v>275</v>
      </c>
      <c r="E29" s="18" t="s">
        <v>306</v>
      </c>
      <c r="F29" s="18" t="s">
        <v>0</v>
      </c>
      <c r="G29" s="19" t="s">
        <v>0</v>
      </c>
      <c r="H29" s="19" t="s">
        <v>0</v>
      </c>
    </row>
    <row r="30" spans="1:8" ht="19.899999999999999" customHeight="1">
      <c r="A30" s="17" t="s">
        <v>26</v>
      </c>
      <c r="B30" s="36" t="s">
        <v>211</v>
      </c>
      <c r="C30" s="99">
        <f>Legend!$C$11-7</f>
        <v>46123</v>
      </c>
      <c r="D30" s="99" t="s">
        <v>275</v>
      </c>
      <c r="E30" s="18" t="s">
        <v>0</v>
      </c>
      <c r="F30" s="18" t="s">
        <v>0</v>
      </c>
      <c r="G30" s="19" t="s">
        <v>0</v>
      </c>
      <c r="H30" s="19" t="s">
        <v>0</v>
      </c>
    </row>
    <row r="31" spans="1:8" ht="19.899999999999999" customHeight="1">
      <c r="A31" s="17" t="s">
        <v>27</v>
      </c>
      <c r="B31" s="37" t="s">
        <v>210</v>
      </c>
      <c r="C31" s="100">
        <f>Legend!$C$11-1</f>
        <v>46129</v>
      </c>
      <c r="D31" s="100" t="s">
        <v>275</v>
      </c>
      <c r="E31" s="18" t="s">
        <v>0</v>
      </c>
      <c r="F31" s="18" t="s">
        <v>0</v>
      </c>
      <c r="G31" s="19" t="s">
        <v>0</v>
      </c>
      <c r="H31" s="19" t="s">
        <v>0</v>
      </c>
    </row>
    <row r="32" spans="1:8" ht="19.899999999999999" customHeight="1">
      <c r="A32" s="17" t="s">
        <v>308</v>
      </c>
      <c r="B32" s="39" t="s">
        <v>213</v>
      </c>
      <c r="C32" s="102">
        <f>Legend!$C$12</f>
        <v>46234</v>
      </c>
      <c r="D32" s="102" t="s">
        <v>275</v>
      </c>
      <c r="E32" s="18" t="s">
        <v>159</v>
      </c>
      <c r="F32" s="18" t="s">
        <v>0</v>
      </c>
      <c r="G32" s="19" t="s">
        <v>0</v>
      </c>
      <c r="H32" s="19" t="s">
        <v>0</v>
      </c>
    </row>
    <row r="33" spans="1:11" ht="28.5">
      <c r="A33" s="17" t="s">
        <v>32</v>
      </c>
      <c r="B33" s="39" t="s">
        <v>213</v>
      </c>
      <c r="C33" s="102">
        <f>Legend!$C$12</f>
        <v>46234</v>
      </c>
      <c r="D33" s="102" t="s">
        <v>275</v>
      </c>
      <c r="E33" s="46" t="s">
        <v>160</v>
      </c>
      <c r="F33" s="18" t="s">
        <v>0</v>
      </c>
      <c r="G33" s="19" t="s">
        <v>0</v>
      </c>
      <c r="H33" s="19" t="s">
        <v>0</v>
      </c>
    </row>
    <row r="34" spans="1:11" ht="19.899999999999999" customHeight="1">
      <c r="A34" s="20" t="s">
        <v>0</v>
      </c>
      <c r="B34" s="30" t="s">
        <v>0</v>
      </c>
      <c r="C34" s="91" t="s">
        <v>0</v>
      </c>
      <c r="D34" s="91"/>
      <c r="E34" s="18" t="s">
        <v>0</v>
      </c>
      <c r="F34" s="20" t="s">
        <v>0</v>
      </c>
      <c r="G34" s="60"/>
      <c r="H34" s="60"/>
    </row>
    <row r="35" spans="1:11" ht="19.899999999999999" customHeight="1">
      <c r="G35" s="61"/>
      <c r="H35" s="61"/>
    </row>
    <row r="36" spans="1:11" ht="19.899999999999999" customHeight="1">
      <c r="A36" s="2" t="s">
        <v>190</v>
      </c>
    </row>
    <row r="37" spans="1:11" ht="19.899999999999999" customHeight="1">
      <c r="A37" s="15" t="s">
        <v>2</v>
      </c>
      <c r="B37" s="23" t="s">
        <v>135</v>
      </c>
      <c r="C37" s="82" t="s">
        <v>135</v>
      </c>
      <c r="D37" s="82" t="s">
        <v>273</v>
      </c>
      <c r="E37" s="16" t="s">
        <v>3</v>
      </c>
      <c r="F37" s="16" t="s">
        <v>4</v>
      </c>
      <c r="G37" s="16" t="s">
        <v>5</v>
      </c>
      <c r="H37" s="16" t="s">
        <v>6</v>
      </c>
    </row>
    <row r="38" spans="1:11" ht="19.899999999999999" customHeight="1">
      <c r="A38" s="56" t="s">
        <v>191</v>
      </c>
      <c r="B38" s="57" t="s">
        <v>195</v>
      </c>
      <c r="C38" s="103">
        <f>Legend!$C$5+45</f>
        <v>46127</v>
      </c>
      <c r="D38" s="103" t="s">
        <v>274</v>
      </c>
      <c r="E38" s="76" t="s">
        <v>198</v>
      </c>
      <c r="F38" s="48" t="s">
        <v>0</v>
      </c>
      <c r="G38" s="54" t="s">
        <v>0</v>
      </c>
      <c r="H38" s="54" t="s">
        <v>0</v>
      </c>
      <c r="I38" s="55"/>
      <c r="J38" s="55"/>
      <c r="K38" s="55"/>
    </row>
    <row r="39" spans="1:11" ht="19.899999999999999" customHeight="1">
      <c r="A39" s="131" t="s">
        <v>310</v>
      </c>
      <c r="B39" s="132" t="s">
        <v>195</v>
      </c>
      <c r="C39" s="133">
        <f>Legend!$C$5+45</f>
        <v>46127</v>
      </c>
      <c r="D39" s="133" t="s">
        <v>274</v>
      </c>
      <c r="E39" s="46" t="s">
        <v>309</v>
      </c>
      <c r="F39" s="18" t="s">
        <v>0</v>
      </c>
      <c r="G39" s="19" t="s">
        <v>0</v>
      </c>
      <c r="H39" s="19" t="s">
        <v>0</v>
      </c>
      <c r="I39" s="55"/>
      <c r="J39" s="55"/>
      <c r="K39" s="55"/>
    </row>
    <row r="40" spans="1:11" ht="19.899999999999999" customHeight="1">
      <c r="F40" s="60"/>
      <c r="G40" s="60"/>
    </row>
    <row r="41" spans="1:11" ht="19.899999999999999" customHeight="1">
      <c r="G41" s="61"/>
      <c r="H41" s="61"/>
    </row>
    <row r="42" spans="1:11" customFormat="1" ht="18">
      <c r="A42" s="2" t="s">
        <v>222</v>
      </c>
      <c r="B42" s="22"/>
      <c r="C42" s="81"/>
      <c r="D42" s="81"/>
      <c r="E42" s="47"/>
      <c r="F42" s="14"/>
      <c r="G42" s="14"/>
      <c r="H42" s="14"/>
    </row>
    <row r="43" spans="1:11" customFormat="1" ht="15">
      <c r="A43" s="15" t="s">
        <v>2</v>
      </c>
      <c r="B43" s="23" t="s">
        <v>135</v>
      </c>
      <c r="C43" s="82" t="s">
        <v>135</v>
      </c>
      <c r="D43" s="82" t="s">
        <v>273</v>
      </c>
      <c r="E43" s="16" t="s">
        <v>3</v>
      </c>
      <c r="F43" s="16" t="s">
        <v>4</v>
      </c>
      <c r="G43" s="16" t="s">
        <v>5</v>
      </c>
      <c r="H43" s="16" t="s">
        <v>6</v>
      </c>
    </row>
    <row r="44" spans="1:11" ht="19.899999999999999" customHeight="1">
      <c r="A44" s="56" t="s">
        <v>311</v>
      </c>
      <c r="B44" s="62" t="s">
        <v>211</v>
      </c>
      <c r="C44" s="106">
        <f>Legend!$C$11-7</f>
        <v>46123</v>
      </c>
      <c r="D44" s="106" t="s">
        <v>277</v>
      </c>
      <c r="E44" s="76" t="s">
        <v>312</v>
      </c>
      <c r="F44" s="48" t="s">
        <v>0</v>
      </c>
      <c r="G44" s="54" t="s">
        <v>0</v>
      </c>
      <c r="H44" s="54" t="s">
        <v>0</v>
      </c>
      <c r="I44" s="55"/>
      <c r="J44" s="55"/>
      <c r="K44" s="55"/>
    </row>
    <row r="45" spans="1:11" ht="19.899999999999999" customHeight="1">
      <c r="G45" s="61"/>
      <c r="H45" s="61"/>
    </row>
    <row r="46" spans="1:11" ht="19.899999999999999" customHeight="1">
      <c r="A46" s="4" t="s">
        <v>33</v>
      </c>
    </row>
    <row r="47" spans="1:11" ht="19.899999999999999" customHeight="1">
      <c r="A47" s="15" t="s">
        <v>2</v>
      </c>
      <c r="B47" s="23" t="s">
        <v>135</v>
      </c>
      <c r="C47" s="82" t="s">
        <v>135</v>
      </c>
      <c r="D47" s="82" t="s">
        <v>273</v>
      </c>
      <c r="E47" s="16" t="s">
        <v>3</v>
      </c>
      <c r="F47" s="16" t="s">
        <v>4</v>
      </c>
      <c r="G47" s="16" t="s">
        <v>5</v>
      </c>
      <c r="H47" s="16" t="s">
        <v>6</v>
      </c>
    </row>
    <row r="48" spans="1:11" ht="19.899999999999999" customHeight="1">
      <c r="A48" s="17" t="s">
        <v>315</v>
      </c>
      <c r="B48" s="32" t="s">
        <v>206</v>
      </c>
      <c r="C48" s="93">
        <f>Legend!$C$9+1</f>
        <v>46102</v>
      </c>
      <c r="D48" s="93" t="s">
        <v>277</v>
      </c>
      <c r="E48" s="18" t="s">
        <v>316</v>
      </c>
      <c r="F48" s="18" t="s">
        <v>0</v>
      </c>
      <c r="G48" s="19" t="s">
        <v>0</v>
      </c>
      <c r="H48" s="19" t="s">
        <v>0</v>
      </c>
    </row>
    <row r="49" spans="1:8" ht="19.899999999999999" customHeight="1">
      <c r="A49" s="17" t="s">
        <v>38</v>
      </c>
      <c r="B49" s="32" t="s">
        <v>206</v>
      </c>
      <c r="C49" s="93">
        <f>Legend!$C$9+1</f>
        <v>46102</v>
      </c>
      <c r="D49" s="93" t="s">
        <v>277</v>
      </c>
      <c r="E49" s="18" t="s">
        <v>0</v>
      </c>
      <c r="F49" s="18" t="s">
        <v>0</v>
      </c>
      <c r="G49" s="19" t="s">
        <v>0</v>
      </c>
      <c r="H49" s="19" t="s">
        <v>0</v>
      </c>
    </row>
    <row r="50" spans="1:8" ht="19.899999999999999" customHeight="1">
      <c r="A50" s="17" t="s">
        <v>41</v>
      </c>
      <c r="B50" s="40" t="s">
        <v>186</v>
      </c>
      <c r="C50" s="110">
        <f>Legend!$C$9+30</f>
        <v>46131</v>
      </c>
      <c r="D50" s="110" t="s">
        <v>275</v>
      </c>
      <c r="E50" s="18" t="s">
        <v>16</v>
      </c>
      <c r="F50" s="18" t="s">
        <v>0</v>
      </c>
      <c r="G50" s="19" t="s">
        <v>0</v>
      </c>
      <c r="H50" s="19" t="s">
        <v>0</v>
      </c>
    </row>
    <row r="51" spans="1:8" ht="19.899999999999999" customHeight="1">
      <c r="A51" s="17" t="s">
        <v>317</v>
      </c>
      <c r="B51" s="35" t="s">
        <v>210</v>
      </c>
      <c r="C51" s="98">
        <f>Legend!$C$11-15</f>
        <v>46115</v>
      </c>
      <c r="D51" s="98" t="s">
        <v>275</v>
      </c>
      <c r="E51" s="18" t="s">
        <v>0</v>
      </c>
      <c r="F51" s="18" t="s">
        <v>0</v>
      </c>
      <c r="G51" s="19" t="s">
        <v>0</v>
      </c>
      <c r="H51" s="19" t="s">
        <v>0</v>
      </c>
    </row>
    <row r="52" spans="1:8" ht="40.15" customHeight="1"/>
    <row r="53" spans="1:8" ht="19.899999999999999" customHeight="1">
      <c r="A53" s="5" t="s">
        <v>46</v>
      </c>
    </row>
    <row r="54" spans="1:8" ht="19.899999999999999" customHeight="1">
      <c r="A54" s="15" t="s">
        <v>2</v>
      </c>
      <c r="B54" s="23" t="s">
        <v>135</v>
      </c>
      <c r="C54" s="82" t="s">
        <v>135</v>
      </c>
      <c r="D54" s="82" t="s">
        <v>273</v>
      </c>
      <c r="E54" s="16" t="s">
        <v>3</v>
      </c>
      <c r="F54" s="16" t="s">
        <v>4</v>
      </c>
      <c r="G54" s="16" t="s">
        <v>5</v>
      </c>
      <c r="H54" s="16" t="s">
        <v>6</v>
      </c>
    </row>
    <row r="55" spans="1:8" ht="19.899999999999999" customHeight="1">
      <c r="A55" s="17" t="s">
        <v>47</v>
      </c>
      <c r="B55" s="32" t="s">
        <v>206</v>
      </c>
      <c r="C55" s="93">
        <f>Legend!$C$9+1</f>
        <v>46102</v>
      </c>
      <c r="D55" s="93" t="s">
        <v>275</v>
      </c>
      <c r="E55" s="18" t="s">
        <v>16</v>
      </c>
      <c r="F55" s="18" t="s">
        <v>0</v>
      </c>
      <c r="G55" s="19" t="s">
        <v>0</v>
      </c>
      <c r="H55" s="19" t="s">
        <v>0</v>
      </c>
    </row>
    <row r="56" spans="1:8" ht="19.899999999999999" customHeight="1">
      <c r="A56" s="17" t="s">
        <v>49</v>
      </c>
      <c r="B56" s="33" t="s">
        <v>207</v>
      </c>
      <c r="C56" s="95">
        <f>Legend!$C$9+7</f>
        <v>46108</v>
      </c>
      <c r="D56" s="95" t="s">
        <v>275</v>
      </c>
      <c r="E56" s="18" t="s">
        <v>16</v>
      </c>
      <c r="F56" s="18" t="s">
        <v>0</v>
      </c>
      <c r="G56" s="19" t="s">
        <v>0</v>
      </c>
      <c r="H56" s="19" t="s">
        <v>0</v>
      </c>
    </row>
    <row r="57" spans="1:8" ht="19.899999999999999" customHeight="1">
      <c r="A57" s="17" t="s">
        <v>319</v>
      </c>
      <c r="B57" s="41" t="s">
        <v>215</v>
      </c>
      <c r="C57" s="111">
        <f>Legend!$C$9+15</f>
        <v>46116</v>
      </c>
      <c r="D57" s="111" t="s">
        <v>275</v>
      </c>
      <c r="E57" s="18" t="s">
        <v>16</v>
      </c>
      <c r="F57" s="18" t="s">
        <v>0</v>
      </c>
      <c r="G57" s="19" t="s">
        <v>0</v>
      </c>
      <c r="H57" s="19" t="s">
        <v>0</v>
      </c>
    </row>
    <row r="58" spans="1:8" ht="40.15" customHeight="1"/>
    <row r="59" spans="1:8" ht="19.899999999999999" customHeight="1">
      <c r="A59" s="6" t="s">
        <v>52</v>
      </c>
    </row>
    <row r="60" spans="1:8" ht="19.899999999999999" customHeight="1">
      <c r="A60" s="15" t="s">
        <v>2</v>
      </c>
      <c r="B60" s="23" t="s">
        <v>135</v>
      </c>
      <c r="C60" s="82" t="s">
        <v>135</v>
      </c>
      <c r="D60" s="82" t="s">
        <v>273</v>
      </c>
      <c r="E60" s="16" t="s">
        <v>3</v>
      </c>
      <c r="F60" s="16" t="s">
        <v>4</v>
      </c>
      <c r="G60" s="16" t="s">
        <v>5</v>
      </c>
      <c r="H60" s="16" t="s">
        <v>6</v>
      </c>
    </row>
    <row r="61" spans="1:8" ht="19.899999999999999" customHeight="1">
      <c r="A61" s="17" t="s">
        <v>320</v>
      </c>
      <c r="B61" s="32" t="s">
        <v>206</v>
      </c>
      <c r="C61" s="93">
        <f>Legend!$C$9+1</f>
        <v>46102</v>
      </c>
      <c r="D61" s="93" t="s">
        <v>277</v>
      </c>
      <c r="E61" s="18" t="s">
        <v>0</v>
      </c>
      <c r="F61" s="18" t="s">
        <v>0</v>
      </c>
      <c r="G61" s="19" t="s">
        <v>0</v>
      </c>
      <c r="H61" s="19" t="s">
        <v>0</v>
      </c>
    </row>
    <row r="62" spans="1:8" ht="19.899999999999999" customHeight="1">
      <c r="A62" s="17" t="s">
        <v>321</v>
      </c>
      <c r="B62" s="34" t="s">
        <v>208</v>
      </c>
      <c r="C62" s="96">
        <f>Legend!$C$11-30</f>
        <v>46100</v>
      </c>
      <c r="D62" s="96" t="s">
        <v>277</v>
      </c>
      <c r="E62" s="18" t="s">
        <v>0</v>
      </c>
      <c r="F62" s="18" t="s">
        <v>0</v>
      </c>
      <c r="G62" s="19" t="s">
        <v>0</v>
      </c>
      <c r="H62" s="19" t="s">
        <v>0</v>
      </c>
    </row>
    <row r="63" spans="1:8" ht="19.899999999999999" customHeight="1">
      <c r="A63" s="17" t="s">
        <v>55</v>
      </c>
      <c r="B63" s="36" t="s">
        <v>211</v>
      </c>
      <c r="C63" s="99">
        <f>Legend!$C$11-7</f>
        <v>46123</v>
      </c>
      <c r="D63" s="99" t="s">
        <v>275</v>
      </c>
      <c r="E63" s="18" t="s">
        <v>16</v>
      </c>
      <c r="F63" s="18" t="s">
        <v>0</v>
      </c>
      <c r="G63" s="19" t="s">
        <v>0</v>
      </c>
      <c r="H63" s="19" t="s">
        <v>0</v>
      </c>
    </row>
    <row r="64" spans="1:8" ht="19.899999999999999" customHeight="1">
      <c r="A64" s="17" t="s">
        <v>56</v>
      </c>
      <c r="B64" s="36" t="s">
        <v>211</v>
      </c>
      <c r="C64" s="99">
        <f>Legend!$C$11-7</f>
        <v>46123</v>
      </c>
      <c r="D64" s="99" t="s">
        <v>275</v>
      </c>
      <c r="E64" s="18" t="s">
        <v>0</v>
      </c>
      <c r="F64" s="18" t="s">
        <v>0</v>
      </c>
      <c r="G64" s="19" t="s">
        <v>0</v>
      </c>
      <c r="H64" s="19" t="s">
        <v>0</v>
      </c>
    </row>
    <row r="65" spans="1:8" ht="40.15" customHeight="1"/>
    <row r="66" spans="1:8" ht="19.899999999999999" customHeight="1">
      <c r="A66" s="7" t="s">
        <v>59</v>
      </c>
    </row>
    <row r="67" spans="1:8" ht="19.899999999999999" customHeight="1">
      <c r="A67" s="15" t="s">
        <v>2</v>
      </c>
      <c r="B67" s="23" t="s">
        <v>135</v>
      </c>
      <c r="C67" s="82" t="s">
        <v>135</v>
      </c>
      <c r="D67" s="82" t="s">
        <v>273</v>
      </c>
      <c r="E67" s="16" t="s">
        <v>3</v>
      </c>
      <c r="F67" s="16" t="s">
        <v>4</v>
      </c>
      <c r="G67" s="16" t="s">
        <v>5</v>
      </c>
      <c r="H67" s="16" t="s">
        <v>6</v>
      </c>
    </row>
    <row r="68" spans="1:8" ht="19.899999999999999" customHeight="1">
      <c r="A68" s="17" t="s">
        <v>322</v>
      </c>
      <c r="B68" s="32" t="s">
        <v>206</v>
      </c>
      <c r="C68" s="93">
        <f>Legend!$C$9+1</f>
        <v>46102</v>
      </c>
      <c r="D68" s="93" t="s">
        <v>274</v>
      </c>
      <c r="E68" s="18" t="s">
        <v>0</v>
      </c>
      <c r="F68" s="18" t="s">
        <v>0</v>
      </c>
      <c r="G68" s="19" t="s">
        <v>0</v>
      </c>
      <c r="H68" s="19" t="s">
        <v>0</v>
      </c>
    </row>
    <row r="69" spans="1:8" ht="19.899999999999999" customHeight="1">
      <c r="A69" s="17" t="s">
        <v>323</v>
      </c>
      <c r="B69" s="41" t="s">
        <v>215</v>
      </c>
      <c r="C69" s="111">
        <f>Legend!$C$9+15</f>
        <v>46116</v>
      </c>
      <c r="D69" s="111" t="s">
        <v>277</v>
      </c>
      <c r="E69" s="18" t="s">
        <v>0</v>
      </c>
      <c r="F69" s="18" t="s">
        <v>0</v>
      </c>
      <c r="G69" s="19" t="s">
        <v>0</v>
      </c>
      <c r="H69" s="19" t="s">
        <v>0</v>
      </c>
    </row>
    <row r="70" spans="1:8" ht="19.899999999999999" customHeight="1">
      <c r="A70" s="17" t="s">
        <v>61</v>
      </c>
      <c r="B70" s="34" t="s">
        <v>208</v>
      </c>
      <c r="C70" s="96">
        <f>Legend!$C$11-30</f>
        <v>46100</v>
      </c>
      <c r="D70" s="96" t="s">
        <v>275</v>
      </c>
      <c r="E70" s="18" t="s">
        <v>16</v>
      </c>
      <c r="F70" s="18" t="s">
        <v>0</v>
      </c>
      <c r="G70" s="19" t="s">
        <v>0</v>
      </c>
      <c r="H70" s="19" t="s">
        <v>0</v>
      </c>
    </row>
    <row r="71" spans="1:8" ht="19.899999999999999" customHeight="1">
      <c r="A71" s="17" t="s">
        <v>324</v>
      </c>
      <c r="B71" s="35" t="s">
        <v>210</v>
      </c>
      <c r="C71" s="98">
        <f>Legend!$C$11-15</f>
        <v>46115</v>
      </c>
      <c r="D71" s="98" t="s">
        <v>275</v>
      </c>
      <c r="E71" s="18"/>
      <c r="F71" s="18" t="s">
        <v>0</v>
      </c>
      <c r="G71" s="19" t="s">
        <v>0</v>
      </c>
      <c r="H71" s="19" t="s">
        <v>0</v>
      </c>
    </row>
    <row r="72" spans="1:8" ht="40.15" customHeight="1"/>
    <row r="73" spans="1:8" ht="19.899999999999999" customHeight="1">
      <c r="A73" s="8" t="s">
        <v>62</v>
      </c>
    </row>
    <row r="74" spans="1:8" ht="19.899999999999999" customHeight="1">
      <c r="A74" s="15" t="s">
        <v>2</v>
      </c>
      <c r="B74" s="23" t="s">
        <v>135</v>
      </c>
      <c r="C74" s="82" t="s">
        <v>135</v>
      </c>
      <c r="D74" s="82" t="s">
        <v>273</v>
      </c>
      <c r="E74" s="16" t="s">
        <v>3</v>
      </c>
      <c r="F74" s="16" t="s">
        <v>4</v>
      </c>
      <c r="G74" s="16" t="s">
        <v>5</v>
      </c>
      <c r="H74" s="16" t="s">
        <v>6</v>
      </c>
    </row>
    <row r="75" spans="1:8" ht="19.899999999999999" customHeight="1">
      <c r="A75" s="17" t="s">
        <v>325</v>
      </c>
      <c r="B75" s="42" t="s">
        <v>216</v>
      </c>
      <c r="C75" s="112">
        <f>Legend!$C$9</f>
        <v>46101</v>
      </c>
      <c r="D75" s="112" t="s">
        <v>277</v>
      </c>
      <c r="E75" s="18"/>
      <c r="F75" s="18"/>
      <c r="G75" s="19"/>
      <c r="H75" s="19"/>
    </row>
    <row r="76" spans="1:8" ht="19.899999999999999" customHeight="1">
      <c r="A76" s="17" t="s">
        <v>326</v>
      </c>
      <c r="B76" s="34" t="s">
        <v>208</v>
      </c>
      <c r="C76" s="96">
        <f>Legend!$C$11-30</f>
        <v>46100</v>
      </c>
      <c r="D76" s="96" t="s">
        <v>277</v>
      </c>
      <c r="E76" s="18" t="s">
        <v>0</v>
      </c>
      <c r="F76" s="18" t="s">
        <v>0</v>
      </c>
      <c r="G76" s="19" t="s">
        <v>0</v>
      </c>
      <c r="H76" s="19" t="s">
        <v>0</v>
      </c>
    </row>
    <row r="77" spans="1:8" ht="19.899999999999999" customHeight="1">
      <c r="A77" s="17" t="s">
        <v>327</v>
      </c>
      <c r="B77" s="35" t="s">
        <v>210</v>
      </c>
      <c r="C77" s="98">
        <f>Legend!$C$11-15</f>
        <v>46115</v>
      </c>
      <c r="D77" s="98" t="s">
        <v>275</v>
      </c>
      <c r="E77" s="18" t="s">
        <v>328</v>
      </c>
      <c r="F77" s="18" t="s">
        <v>0</v>
      </c>
      <c r="G77" s="19" t="s">
        <v>0</v>
      </c>
      <c r="H77" s="19" t="s">
        <v>0</v>
      </c>
    </row>
    <row r="78" spans="1:8" ht="19.899999999999999" customHeight="1">
      <c r="A78" s="17" t="s">
        <v>329</v>
      </c>
      <c r="B78" s="36" t="s">
        <v>211</v>
      </c>
      <c r="C78" s="99">
        <f>Legend!$C$11-7</f>
        <v>46123</v>
      </c>
      <c r="D78" s="99" t="s">
        <v>275</v>
      </c>
      <c r="E78" s="18" t="s">
        <v>68</v>
      </c>
      <c r="F78" s="18" t="s">
        <v>0</v>
      </c>
      <c r="G78" s="19" t="s">
        <v>0</v>
      </c>
      <c r="H78" s="19" t="s">
        <v>0</v>
      </c>
    </row>
    <row r="79" spans="1:8" ht="40.15" customHeight="1"/>
    <row r="80" spans="1:8" ht="19.899999999999999" customHeight="1">
      <c r="A80" s="9" t="s">
        <v>75</v>
      </c>
    </row>
    <row r="81" spans="1:8" ht="19.899999999999999" customHeight="1">
      <c r="A81" s="15" t="s">
        <v>2</v>
      </c>
      <c r="B81" s="23" t="s">
        <v>135</v>
      </c>
      <c r="C81" s="82" t="s">
        <v>135</v>
      </c>
      <c r="D81" s="82" t="s">
        <v>273</v>
      </c>
      <c r="E81" s="16" t="s">
        <v>3</v>
      </c>
      <c r="F81" s="16" t="s">
        <v>4</v>
      </c>
      <c r="G81" s="16" t="s">
        <v>5</v>
      </c>
      <c r="H81" s="16" t="s">
        <v>6</v>
      </c>
    </row>
    <row r="82" spans="1:8" ht="19.899999999999999" customHeight="1">
      <c r="A82" s="17" t="s">
        <v>76</v>
      </c>
      <c r="B82" s="42" t="s">
        <v>216</v>
      </c>
      <c r="C82" s="112">
        <f>Legend!$C$9</f>
        <v>46101</v>
      </c>
      <c r="D82" s="112" t="s">
        <v>277</v>
      </c>
      <c r="E82" s="18" t="s">
        <v>0</v>
      </c>
      <c r="F82" s="18" t="s">
        <v>0</v>
      </c>
      <c r="G82" s="19" t="s">
        <v>0</v>
      </c>
      <c r="H82" s="19" t="s">
        <v>0</v>
      </c>
    </row>
    <row r="83" spans="1:8" ht="19.899999999999999" customHeight="1">
      <c r="A83" s="17" t="s">
        <v>77</v>
      </c>
      <c r="B83" s="33" t="s">
        <v>207</v>
      </c>
      <c r="C83" s="95">
        <f>Legend!$C$9+7</f>
        <v>46108</v>
      </c>
      <c r="D83" s="95" t="s">
        <v>277</v>
      </c>
      <c r="E83" s="18" t="s">
        <v>78</v>
      </c>
      <c r="F83" s="18" t="s">
        <v>0</v>
      </c>
      <c r="G83" s="19" t="s">
        <v>0</v>
      </c>
      <c r="H83" s="19" t="s">
        <v>0</v>
      </c>
    </row>
    <row r="84" spans="1:8" ht="19.899999999999999" customHeight="1">
      <c r="A84" s="17" t="s">
        <v>79</v>
      </c>
      <c r="B84" s="41" t="s">
        <v>215</v>
      </c>
      <c r="C84" s="111">
        <f>Legend!$C$9+15</f>
        <v>46116</v>
      </c>
      <c r="D84" s="111" t="s">
        <v>277</v>
      </c>
      <c r="E84" s="18" t="s">
        <v>0</v>
      </c>
      <c r="F84" s="18" t="s">
        <v>0</v>
      </c>
      <c r="G84" s="19" t="s">
        <v>0</v>
      </c>
      <c r="H84" s="19" t="s">
        <v>0</v>
      </c>
    </row>
    <row r="85" spans="1:8" ht="19.899999999999999" customHeight="1">
      <c r="A85" s="17" t="s">
        <v>80</v>
      </c>
      <c r="B85" s="40" t="s">
        <v>186</v>
      </c>
      <c r="C85" s="110">
        <f>Legend!$C$9+30</f>
        <v>46131</v>
      </c>
      <c r="D85" s="110" t="s">
        <v>275</v>
      </c>
      <c r="E85" s="18" t="s">
        <v>81</v>
      </c>
      <c r="F85" s="18" t="s">
        <v>0</v>
      </c>
      <c r="G85" s="19" t="s">
        <v>0</v>
      </c>
      <c r="H85" s="19" t="s">
        <v>0</v>
      </c>
    </row>
    <row r="86" spans="1:8" ht="19.899999999999999" customHeight="1">
      <c r="A86" s="17" t="s">
        <v>61</v>
      </c>
      <c r="B86" s="34" t="s">
        <v>208</v>
      </c>
      <c r="C86" s="96">
        <f>Legend!$C$11-30</f>
        <v>46100</v>
      </c>
      <c r="D86" s="96" t="s">
        <v>275</v>
      </c>
      <c r="E86" s="18" t="s">
        <v>0</v>
      </c>
      <c r="F86" s="18" t="s">
        <v>0</v>
      </c>
      <c r="G86" s="19" t="s">
        <v>0</v>
      </c>
      <c r="H86" s="19" t="s">
        <v>0</v>
      </c>
    </row>
    <row r="87" spans="1:8" ht="19.899999999999999" customHeight="1">
      <c r="A87" s="17" t="s">
        <v>149</v>
      </c>
      <c r="B87" s="35" t="s">
        <v>210</v>
      </c>
      <c r="C87" s="98">
        <f>Legend!$C$11-15</f>
        <v>46115</v>
      </c>
      <c r="D87" s="98" t="s">
        <v>275</v>
      </c>
      <c r="E87" s="18" t="s">
        <v>0</v>
      </c>
      <c r="F87" s="18" t="s">
        <v>0</v>
      </c>
      <c r="G87" s="19" t="s">
        <v>0</v>
      </c>
      <c r="H87" s="19" t="s">
        <v>0</v>
      </c>
    </row>
    <row r="88" spans="1:8" ht="19.899999999999999" customHeight="1">
      <c r="A88" s="17" t="s">
        <v>150</v>
      </c>
      <c r="B88" s="36" t="s">
        <v>211</v>
      </c>
      <c r="C88" s="99">
        <f>Legend!$C$11-7</f>
        <v>46123</v>
      </c>
      <c r="D88" s="99" t="s">
        <v>275</v>
      </c>
      <c r="E88" s="18" t="s">
        <v>81</v>
      </c>
      <c r="F88" s="18" t="s">
        <v>0</v>
      </c>
      <c r="G88" s="19" t="s">
        <v>0</v>
      </c>
      <c r="H88" s="19" t="s">
        <v>0</v>
      </c>
    </row>
    <row r="89" spans="1:8" ht="19.899999999999999" customHeight="1">
      <c r="A89" s="17" t="s">
        <v>151</v>
      </c>
      <c r="B89" s="37" t="s">
        <v>214</v>
      </c>
      <c r="C89" s="100">
        <f>Legend!$C$11-1</f>
        <v>46129</v>
      </c>
      <c r="D89" s="100" t="s">
        <v>275</v>
      </c>
      <c r="E89" s="18" t="s">
        <v>0</v>
      </c>
      <c r="F89" s="18" t="s">
        <v>0</v>
      </c>
      <c r="G89" s="19" t="s">
        <v>0</v>
      </c>
      <c r="H89" s="19" t="s">
        <v>0</v>
      </c>
    </row>
    <row r="90" spans="1:8" ht="19.899999999999999" customHeight="1">
      <c r="A90" s="137" t="s">
        <v>297</v>
      </c>
      <c r="B90" s="138"/>
      <c r="C90" s="138"/>
      <c r="D90" s="138"/>
      <c r="E90" s="139"/>
      <c r="F90" s="20" t="s">
        <v>0</v>
      </c>
      <c r="G90" s="21"/>
      <c r="H90" s="21"/>
    </row>
    <row r="91" spans="1:8" ht="40.15" customHeight="1"/>
    <row r="92" spans="1:8" ht="19.899999999999999" customHeight="1">
      <c r="A92" s="9" t="s">
        <v>82</v>
      </c>
    </row>
    <row r="93" spans="1:8" ht="19.899999999999999" customHeight="1">
      <c r="A93" s="15" t="s">
        <v>2</v>
      </c>
      <c r="B93" s="23" t="s">
        <v>135</v>
      </c>
      <c r="C93" s="82" t="s">
        <v>135</v>
      </c>
      <c r="D93" s="82" t="s">
        <v>273</v>
      </c>
      <c r="E93" s="16" t="s">
        <v>3</v>
      </c>
      <c r="F93" s="16" t="s">
        <v>4</v>
      </c>
      <c r="G93" s="16" t="s">
        <v>5</v>
      </c>
      <c r="H93" s="16" t="s">
        <v>6</v>
      </c>
    </row>
    <row r="94" spans="1:8" ht="19.899999999999999" customHeight="1">
      <c r="A94" s="17" t="s">
        <v>85</v>
      </c>
      <c r="B94" s="41" t="s">
        <v>215</v>
      </c>
      <c r="C94" s="111">
        <f>Legend!$C$9+15</f>
        <v>46116</v>
      </c>
      <c r="D94" s="111" t="s">
        <v>277</v>
      </c>
      <c r="E94" s="18" t="s">
        <v>81</v>
      </c>
      <c r="F94" s="18" t="s">
        <v>0</v>
      </c>
      <c r="G94" s="19" t="s">
        <v>0</v>
      </c>
      <c r="H94" s="19" t="s">
        <v>0</v>
      </c>
    </row>
    <row r="95" spans="1:8" ht="19.899999999999999" customHeight="1">
      <c r="A95" s="17" t="s">
        <v>61</v>
      </c>
      <c r="B95" s="34" t="s">
        <v>208</v>
      </c>
      <c r="C95" s="96">
        <f>Legend!$C$11-30</f>
        <v>46100</v>
      </c>
      <c r="D95" s="96" t="s">
        <v>277</v>
      </c>
      <c r="E95" s="18" t="s">
        <v>0</v>
      </c>
      <c r="F95" s="18" t="s">
        <v>0</v>
      </c>
      <c r="G95" s="19" t="s">
        <v>0</v>
      </c>
      <c r="H95" s="19" t="s">
        <v>0</v>
      </c>
    </row>
    <row r="96" spans="1:8" ht="40.15" customHeight="1"/>
    <row r="97" spans="1:8" ht="19.899999999999999" customHeight="1">
      <c r="A97" s="10" t="s">
        <v>86</v>
      </c>
    </row>
    <row r="98" spans="1:8" ht="19.899999999999999" customHeight="1">
      <c r="A98" s="15" t="s">
        <v>2</v>
      </c>
      <c r="B98" s="23" t="s">
        <v>135</v>
      </c>
      <c r="C98" s="82" t="s">
        <v>135</v>
      </c>
      <c r="D98" s="82" t="s">
        <v>273</v>
      </c>
      <c r="E98" s="16" t="s">
        <v>3</v>
      </c>
      <c r="F98" s="16" t="s">
        <v>4</v>
      </c>
      <c r="G98" s="16" t="s">
        <v>5</v>
      </c>
      <c r="H98" s="16" t="s">
        <v>6</v>
      </c>
    </row>
    <row r="99" spans="1:8" ht="19.899999999999999" customHeight="1">
      <c r="A99" s="17" t="s">
        <v>335</v>
      </c>
      <c r="B99" s="41" t="s">
        <v>215</v>
      </c>
      <c r="C99" s="111">
        <f>Legend!$C$9+15</f>
        <v>46116</v>
      </c>
      <c r="D99" s="111" t="s">
        <v>277</v>
      </c>
      <c r="E99" s="18" t="s">
        <v>0</v>
      </c>
      <c r="F99" s="18" t="s">
        <v>0</v>
      </c>
      <c r="G99" s="19" t="s">
        <v>0</v>
      </c>
      <c r="H99" s="19" t="s">
        <v>0</v>
      </c>
    </row>
    <row r="100" spans="1:8" ht="19.899999999999999" customHeight="1">
      <c r="A100" s="17" t="s">
        <v>90</v>
      </c>
      <c r="B100" s="34" t="s">
        <v>208</v>
      </c>
      <c r="C100" s="96">
        <f>Legend!$C$11-30</f>
        <v>46100</v>
      </c>
      <c r="D100" s="96" t="s">
        <v>275</v>
      </c>
      <c r="E100" s="18" t="s">
        <v>0</v>
      </c>
      <c r="F100" s="18" t="s">
        <v>0</v>
      </c>
      <c r="G100" s="19" t="s">
        <v>0</v>
      </c>
      <c r="H100" s="19" t="s">
        <v>0</v>
      </c>
    </row>
    <row r="101" spans="1:8" ht="19.899999999999999" customHeight="1">
      <c r="A101" s="17" t="s">
        <v>336</v>
      </c>
      <c r="B101" s="34" t="s">
        <v>208</v>
      </c>
      <c r="C101" s="96">
        <f>Legend!$C$11-30</f>
        <v>46100</v>
      </c>
      <c r="D101" s="96" t="s">
        <v>275</v>
      </c>
      <c r="E101" s="18" t="s">
        <v>0</v>
      </c>
      <c r="F101" s="18" t="s">
        <v>0</v>
      </c>
      <c r="G101" s="19" t="s">
        <v>0</v>
      </c>
      <c r="H101" s="19" t="s">
        <v>0</v>
      </c>
    </row>
    <row r="102" spans="1:8" ht="19.899999999999999" customHeight="1">
      <c r="A102" s="17" t="s">
        <v>337</v>
      </c>
      <c r="B102" s="34" t="s">
        <v>208</v>
      </c>
      <c r="C102" s="96">
        <f>Legend!$C$11-30</f>
        <v>46100</v>
      </c>
      <c r="D102" s="96" t="s">
        <v>275</v>
      </c>
      <c r="E102" s="18" t="s">
        <v>0</v>
      </c>
      <c r="F102" s="18" t="s">
        <v>0</v>
      </c>
      <c r="G102" s="19" t="s">
        <v>0</v>
      </c>
      <c r="H102" s="19" t="s">
        <v>0</v>
      </c>
    </row>
    <row r="103" spans="1:8" ht="28.5">
      <c r="A103" s="134" t="s">
        <v>338</v>
      </c>
      <c r="B103" s="35" t="s">
        <v>210</v>
      </c>
      <c r="C103" s="98">
        <f>Legend!$C$11-15</f>
        <v>46115</v>
      </c>
      <c r="D103" s="98" t="s">
        <v>275</v>
      </c>
      <c r="E103" s="18" t="s">
        <v>0</v>
      </c>
      <c r="F103" s="18" t="s">
        <v>0</v>
      </c>
      <c r="G103" s="19" t="s">
        <v>0</v>
      </c>
      <c r="H103" s="19" t="s">
        <v>0</v>
      </c>
    </row>
    <row r="104" spans="1:8" ht="19.899999999999999" customHeight="1">
      <c r="A104" s="20" t="s">
        <v>340</v>
      </c>
      <c r="B104" s="34" t="s">
        <v>208</v>
      </c>
      <c r="C104" s="96">
        <f>Legend!$C$11-30</f>
        <v>46100</v>
      </c>
      <c r="D104" s="96" t="s">
        <v>275</v>
      </c>
      <c r="E104" s="18" t="s">
        <v>0</v>
      </c>
      <c r="F104" s="18" t="s">
        <v>0</v>
      </c>
      <c r="G104" s="19" t="s">
        <v>0</v>
      </c>
      <c r="H104" s="19" t="s">
        <v>0</v>
      </c>
    </row>
    <row r="105" spans="1:8" ht="40.15" customHeight="1"/>
    <row r="106" spans="1:8" ht="19.899999999999999" customHeight="1">
      <c r="A106" s="11" t="s">
        <v>341</v>
      </c>
    </row>
    <row r="107" spans="1:8" ht="19.899999999999999" customHeight="1">
      <c r="A107" s="135" t="s">
        <v>2</v>
      </c>
      <c r="B107" s="23" t="s">
        <v>135</v>
      </c>
      <c r="C107" s="82" t="s">
        <v>135</v>
      </c>
      <c r="D107" s="82" t="s">
        <v>273</v>
      </c>
      <c r="E107" s="16" t="s">
        <v>3</v>
      </c>
      <c r="F107" s="16" t="s">
        <v>4</v>
      </c>
      <c r="G107" s="16" t="s">
        <v>5</v>
      </c>
      <c r="H107" s="16" t="s">
        <v>6</v>
      </c>
    </row>
    <row r="108" spans="1:8" ht="19.899999999999999" customHeight="1">
      <c r="A108" s="17" t="s">
        <v>101</v>
      </c>
      <c r="B108" s="42" t="s">
        <v>216</v>
      </c>
      <c r="C108" s="112">
        <f>Legend!$C$9</f>
        <v>46101</v>
      </c>
      <c r="D108" s="112" t="s">
        <v>276</v>
      </c>
      <c r="E108" s="18" t="s">
        <v>0</v>
      </c>
      <c r="F108" s="18" t="s">
        <v>0</v>
      </c>
      <c r="G108" s="19" t="s">
        <v>0</v>
      </c>
      <c r="H108" s="19" t="s">
        <v>0</v>
      </c>
    </row>
    <row r="109" spans="1:8" ht="19.899999999999999" customHeight="1">
      <c r="A109" s="17" t="s">
        <v>102</v>
      </c>
      <c r="B109" s="41" t="s">
        <v>215</v>
      </c>
      <c r="C109" s="111">
        <f>Legend!$C$9+15</f>
        <v>46116</v>
      </c>
      <c r="D109" s="111" t="s">
        <v>276</v>
      </c>
      <c r="E109" s="18" t="s">
        <v>0</v>
      </c>
      <c r="F109" s="18" t="s">
        <v>0</v>
      </c>
      <c r="G109" s="19" t="s">
        <v>0</v>
      </c>
      <c r="H109" s="19" t="s">
        <v>0</v>
      </c>
    </row>
    <row r="110" spans="1:8" ht="19.899999999999999" customHeight="1">
      <c r="A110" s="17" t="s">
        <v>103</v>
      </c>
      <c r="B110" s="40" t="s">
        <v>186</v>
      </c>
      <c r="C110" s="110">
        <f>Legend!$C$9+30</f>
        <v>46131</v>
      </c>
      <c r="D110" s="110" t="s">
        <v>276</v>
      </c>
      <c r="E110" s="18" t="s">
        <v>104</v>
      </c>
      <c r="F110" s="18" t="s">
        <v>0</v>
      </c>
      <c r="G110" s="19" t="s">
        <v>0</v>
      </c>
      <c r="H110" s="19" t="s">
        <v>0</v>
      </c>
    </row>
    <row r="111" spans="1:8" ht="19.899999999999999" customHeight="1">
      <c r="A111" s="17" t="s">
        <v>105</v>
      </c>
      <c r="B111" s="43" t="s">
        <v>217</v>
      </c>
      <c r="C111" s="113">
        <f>Legend!$C$11-60</f>
        <v>46070</v>
      </c>
      <c r="D111" s="113" t="s">
        <v>276</v>
      </c>
      <c r="E111" s="18" t="s">
        <v>30</v>
      </c>
      <c r="F111" s="18" t="s">
        <v>0</v>
      </c>
      <c r="G111" s="19" t="s">
        <v>0</v>
      </c>
      <c r="H111" s="19" t="s">
        <v>0</v>
      </c>
    </row>
    <row r="112" spans="1:8" ht="19.899999999999999" customHeight="1">
      <c r="A112" s="17" t="s">
        <v>106</v>
      </c>
      <c r="B112" s="34" t="s">
        <v>208</v>
      </c>
      <c r="C112" s="96">
        <f>Legend!$C$11-30</f>
        <v>46100</v>
      </c>
      <c r="D112" s="96" t="s">
        <v>277</v>
      </c>
      <c r="E112" s="18" t="s">
        <v>30</v>
      </c>
      <c r="F112" s="18" t="s">
        <v>0</v>
      </c>
      <c r="G112" s="19" t="s">
        <v>0</v>
      </c>
      <c r="H112" s="19" t="s">
        <v>0</v>
      </c>
    </row>
    <row r="113" spans="1:8" ht="19.899999999999999" customHeight="1">
      <c r="A113" s="17" t="s">
        <v>107</v>
      </c>
      <c r="B113" s="35" t="s">
        <v>210</v>
      </c>
      <c r="C113" s="98">
        <f>Legend!$C$11-15</f>
        <v>46115</v>
      </c>
      <c r="D113" s="98" t="s">
        <v>277</v>
      </c>
      <c r="E113" s="18" t="s">
        <v>0</v>
      </c>
      <c r="F113" s="18" t="s">
        <v>0</v>
      </c>
      <c r="G113" s="19" t="s">
        <v>0</v>
      </c>
      <c r="H113" s="19" t="s">
        <v>0</v>
      </c>
    </row>
    <row r="114" spans="1:8" ht="19.899999999999999" customHeight="1">
      <c r="A114" s="17" t="s">
        <v>108</v>
      </c>
      <c r="B114" s="36" t="s">
        <v>211</v>
      </c>
      <c r="C114" s="99">
        <f>Legend!$C$11-7</f>
        <v>46123</v>
      </c>
      <c r="D114" s="99" t="s">
        <v>275</v>
      </c>
      <c r="E114" s="18" t="s">
        <v>0</v>
      </c>
      <c r="F114" s="18" t="s">
        <v>0</v>
      </c>
      <c r="G114" s="19" t="s">
        <v>0</v>
      </c>
      <c r="H114" s="19" t="s">
        <v>0</v>
      </c>
    </row>
    <row r="115" spans="1:8" ht="19.899999999999999" customHeight="1">
      <c r="A115" s="17" t="s">
        <v>109</v>
      </c>
      <c r="B115" s="37" t="s">
        <v>214</v>
      </c>
      <c r="C115" s="100">
        <f>Legend!$C$11-1</f>
        <v>46129</v>
      </c>
      <c r="D115" s="100" t="s">
        <v>275</v>
      </c>
      <c r="E115" s="18" t="s">
        <v>0</v>
      </c>
      <c r="F115" s="18" t="s">
        <v>0</v>
      </c>
      <c r="G115" s="19" t="s">
        <v>0</v>
      </c>
      <c r="H115" s="19" t="s">
        <v>0</v>
      </c>
    </row>
    <row r="116" spans="1:8" ht="19.899999999999999" customHeight="1">
      <c r="A116" s="17" t="s">
        <v>110</v>
      </c>
      <c r="B116" s="38" t="s">
        <v>212</v>
      </c>
      <c r="C116" s="101">
        <f>Legend!$C$11</f>
        <v>46130</v>
      </c>
      <c r="D116" s="101" t="s">
        <v>275</v>
      </c>
      <c r="E116" s="18" t="s">
        <v>0</v>
      </c>
      <c r="F116" s="18" t="s">
        <v>0</v>
      </c>
      <c r="G116" s="19" t="s">
        <v>0</v>
      </c>
      <c r="H116" s="19" t="s">
        <v>0</v>
      </c>
    </row>
    <row r="117" spans="1:8" ht="19.899999999999999" customHeight="1">
      <c r="A117" s="17" t="s">
        <v>111</v>
      </c>
      <c r="B117" s="38" t="s">
        <v>212</v>
      </c>
      <c r="C117" s="101">
        <f>Legend!$C$11</f>
        <v>46130</v>
      </c>
      <c r="D117" s="101" t="s">
        <v>275</v>
      </c>
      <c r="E117" s="18" t="s">
        <v>0</v>
      </c>
      <c r="F117" s="18" t="s">
        <v>0</v>
      </c>
      <c r="G117" s="19" t="s">
        <v>0</v>
      </c>
      <c r="H117" s="19" t="s">
        <v>0</v>
      </c>
    </row>
    <row r="118" spans="1:8" ht="19.899999999999999" customHeight="1">
      <c r="A118" s="17" t="s">
        <v>112</v>
      </c>
      <c r="B118" s="39" t="s">
        <v>213</v>
      </c>
      <c r="C118" s="102">
        <f>Legend!$C$12+7</f>
        <v>46241</v>
      </c>
      <c r="D118" s="102" t="s">
        <v>275</v>
      </c>
      <c r="E118" s="18" t="s">
        <v>0</v>
      </c>
      <c r="F118" s="18" t="s">
        <v>0</v>
      </c>
      <c r="G118" s="19" t="s">
        <v>0</v>
      </c>
      <c r="H118" s="19" t="s">
        <v>0</v>
      </c>
    </row>
    <row r="119" spans="1:8" ht="19.899999999999999" customHeight="1">
      <c r="A119" s="20" t="s">
        <v>0</v>
      </c>
      <c r="B119" s="30" t="s">
        <v>0</v>
      </c>
      <c r="C119" s="91" t="s">
        <v>0</v>
      </c>
      <c r="D119" s="91"/>
      <c r="E119" s="18" t="s">
        <v>0</v>
      </c>
      <c r="F119" s="20" t="s">
        <v>0</v>
      </c>
      <c r="G119" s="21"/>
      <c r="H119" s="21"/>
    </row>
    <row r="120" spans="1:8" s="55" customFormat="1" ht="19.899999999999999" customHeight="1">
      <c r="B120" s="69"/>
      <c r="C120" s="118"/>
      <c r="D120" s="118"/>
      <c r="E120" s="75"/>
      <c r="G120" s="61"/>
      <c r="H120" s="61"/>
    </row>
    <row r="121" spans="1:8" s="55" customFormat="1" ht="19.899999999999999" customHeight="1">
      <c r="A121" s="67" t="s">
        <v>331</v>
      </c>
      <c r="B121" s="69"/>
      <c r="C121" s="118"/>
      <c r="D121" s="118"/>
      <c r="E121" s="75"/>
      <c r="G121" s="61"/>
      <c r="H121" s="61"/>
    </row>
    <row r="122" spans="1:8" s="55" customFormat="1" ht="19.899999999999999" customHeight="1">
      <c r="A122" s="15" t="s">
        <v>2</v>
      </c>
      <c r="B122" s="23" t="s">
        <v>135</v>
      </c>
      <c r="C122" s="82" t="s">
        <v>135</v>
      </c>
      <c r="D122" s="82" t="s">
        <v>273</v>
      </c>
      <c r="E122" s="16" t="s">
        <v>3</v>
      </c>
      <c r="F122" s="16" t="s">
        <v>4</v>
      </c>
      <c r="G122" s="16" t="s">
        <v>5</v>
      </c>
      <c r="H122" s="16" t="s">
        <v>6</v>
      </c>
    </row>
    <row r="123" spans="1:8" s="55" customFormat="1" ht="19.899999999999999" customHeight="1">
      <c r="A123" s="64" t="s">
        <v>332</v>
      </c>
      <c r="B123" s="65"/>
      <c r="C123" s="109"/>
      <c r="D123" s="109"/>
      <c r="E123" s="48"/>
      <c r="F123" s="64"/>
      <c r="G123" s="60"/>
      <c r="H123" s="60"/>
    </row>
    <row r="124" spans="1:8" s="55" customFormat="1" ht="19.899999999999999" customHeight="1">
      <c r="A124" s="64" t="s">
        <v>333</v>
      </c>
      <c r="B124" s="65"/>
      <c r="C124" s="109"/>
      <c r="D124" s="109"/>
      <c r="E124" s="48"/>
      <c r="F124" s="64"/>
      <c r="G124" s="60"/>
      <c r="H124" s="60"/>
    </row>
    <row r="125" spans="1:8" s="55" customFormat="1" ht="19.899999999999999" customHeight="1">
      <c r="A125" s="64" t="s">
        <v>334</v>
      </c>
      <c r="B125" s="65"/>
      <c r="C125" s="109"/>
      <c r="D125" s="109"/>
      <c r="E125" s="48"/>
      <c r="F125" s="64"/>
      <c r="G125" s="60"/>
      <c r="H125" s="60"/>
    </row>
    <row r="126" spans="1:8" s="55" customFormat="1" ht="15">
      <c r="A126" s="56" t="s">
        <v>255</v>
      </c>
      <c r="B126" s="74" t="s">
        <v>267</v>
      </c>
      <c r="C126" s="117">
        <f>Legend!$C$12+15</f>
        <v>46249</v>
      </c>
      <c r="D126" s="117" t="s">
        <v>275</v>
      </c>
      <c r="E126" s="76" t="s">
        <v>260</v>
      </c>
      <c r="F126" s="48" t="s">
        <v>0</v>
      </c>
      <c r="G126" s="54" t="s">
        <v>0</v>
      </c>
      <c r="H126" s="54" t="s">
        <v>0</v>
      </c>
    </row>
    <row r="127" spans="1:8" s="55" customFormat="1" ht="15">
      <c r="A127" s="56" t="s">
        <v>256</v>
      </c>
      <c r="B127" s="74" t="s">
        <v>267</v>
      </c>
      <c r="C127" s="117">
        <f>Legend!$C$12+15</f>
        <v>46249</v>
      </c>
      <c r="D127" s="117" t="s">
        <v>275</v>
      </c>
      <c r="E127" s="76" t="s">
        <v>261</v>
      </c>
      <c r="F127" s="48"/>
      <c r="G127" s="54"/>
      <c r="H127" s="54"/>
    </row>
    <row r="128" spans="1:8" s="55" customFormat="1" ht="15">
      <c r="A128" s="56" t="s">
        <v>257</v>
      </c>
      <c r="B128" s="74" t="s">
        <v>267</v>
      </c>
      <c r="C128" s="117">
        <f>Legend!$C$12+15</f>
        <v>46249</v>
      </c>
      <c r="D128" s="117" t="s">
        <v>275</v>
      </c>
      <c r="E128" s="76" t="s">
        <v>262</v>
      </c>
      <c r="F128" s="48"/>
      <c r="G128" s="54"/>
      <c r="H128" s="54"/>
    </row>
    <row r="129" spans="1:8" s="55" customFormat="1" ht="15">
      <c r="A129" s="56" t="s">
        <v>258</v>
      </c>
      <c r="B129" s="74" t="s">
        <v>267</v>
      </c>
      <c r="C129" s="117">
        <f>Legend!$C$12+15</f>
        <v>46249</v>
      </c>
      <c r="D129" s="117" t="s">
        <v>275</v>
      </c>
      <c r="E129" s="76" t="s">
        <v>343</v>
      </c>
      <c r="F129" s="48"/>
      <c r="G129" s="54"/>
      <c r="H129" s="54"/>
    </row>
    <row r="130" spans="1:8" s="55" customFormat="1" ht="15">
      <c r="A130" s="56" t="s">
        <v>259</v>
      </c>
      <c r="B130" s="74" t="s">
        <v>267</v>
      </c>
      <c r="C130" s="117">
        <f>Legend!$C$12+15</f>
        <v>46249</v>
      </c>
      <c r="D130" s="117" t="s">
        <v>275</v>
      </c>
      <c r="E130" s="76" t="s">
        <v>264</v>
      </c>
      <c r="F130" s="48"/>
      <c r="G130" s="54"/>
      <c r="H130" s="54"/>
    </row>
    <row r="131" spans="1:8" ht="15">
      <c r="A131" s="64" t="s">
        <v>0</v>
      </c>
      <c r="B131" s="65" t="s">
        <v>0</v>
      </c>
      <c r="C131" s="109" t="s">
        <v>0</v>
      </c>
      <c r="D131" s="109"/>
      <c r="E131" s="48" t="s">
        <v>0</v>
      </c>
      <c r="F131" s="64" t="s">
        <v>0</v>
      </c>
      <c r="G131" s="60"/>
      <c r="H131" s="60"/>
    </row>
    <row r="132" spans="1:8" ht="15">
      <c r="A132" s="55"/>
      <c r="B132" s="69"/>
      <c r="C132" s="118"/>
      <c r="D132" s="118"/>
      <c r="E132" s="75"/>
      <c r="F132" s="55"/>
      <c r="G132" s="61"/>
      <c r="H132" s="61"/>
    </row>
    <row r="133" spans="1:8" ht="15">
      <c r="A133" s="55"/>
      <c r="B133" s="69"/>
      <c r="C133" s="118"/>
      <c r="D133" s="118"/>
      <c r="E133" s="75"/>
      <c r="F133" s="55"/>
      <c r="G133" s="61"/>
      <c r="H133" s="61"/>
    </row>
    <row r="135" spans="1:8" ht="15">
      <c r="A135" s="136" t="s">
        <v>166</v>
      </c>
      <c r="B135" s="136"/>
      <c r="C135" s="136"/>
      <c r="D135" s="136"/>
      <c r="E135" s="136"/>
      <c r="F135" s="136"/>
    </row>
    <row r="136" spans="1:8" s="47" customFormat="1" ht="15">
      <c r="A136" s="48" t="s">
        <v>167</v>
      </c>
      <c r="B136" s="49" t="s">
        <v>268</v>
      </c>
      <c r="C136" s="119" t="s">
        <v>168</v>
      </c>
      <c r="D136" s="119"/>
      <c r="E136" s="48" t="s">
        <v>170</v>
      </c>
      <c r="F136" s="48" t="s">
        <v>169</v>
      </c>
    </row>
    <row r="137" spans="1:8" ht="42.75">
      <c r="A137" s="20" t="s">
        <v>171</v>
      </c>
      <c r="B137" s="30">
        <v>45679</v>
      </c>
      <c r="C137" s="91">
        <v>45679</v>
      </c>
      <c r="D137" s="91"/>
      <c r="E137" s="46" t="s">
        <v>172</v>
      </c>
      <c r="F137" s="20">
        <v>1</v>
      </c>
    </row>
    <row r="138" spans="1:8" ht="42.75">
      <c r="A138" s="20" t="s">
        <v>171</v>
      </c>
      <c r="B138" s="68" t="s">
        <v>244</v>
      </c>
      <c r="C138" s="91">
        <v>45845</v>
      </c>
      <c r="D138" s="91"/>
      <c r="E138" s="46" t="s">
        <v>269</v>
      </c>
      <c r="F138" s="20">
        <v>2</v>
      </c>
    </row>
    <row r="139" spans="1:8" ht="28.5">
      <c r="A139" s="20" t="s">
        <v>344</v>
      </c>
      <c r="B139" s="30"/>
      <c r="C139" s="91">
        <v>46105</v>
      </c>
      <c r="D139" s="91"/>
      <c r="E139" s="46" t="s">
        <v>345</v>
      </c>
      <c r="F139" s="20">
        <v>3</v>
      </c>
    </row>
    <row r="140" spans="1:8">
      <c r="A140" s="20"/>
      <c r="B140" s="30"/>
      <c r="C140" s="91"/>
      <c r="D140" s="91"/>
      <c r="E140" s="18"/>
      <c r="F140" s="20"/>
    </row>
    <row r="141" spans="1:8">
      <c r="A141" s="20"/>
      <c r="B141" s="30"/>
      <c r="C141" s="91"/>
      <c r="D141" s="91"/>
      <c r="E141" s="18"/>
      <c r="F141" s="20"/>
    </row>
    <row r="142" spans="1:8">
      <c r="A142" s="20"/>
      <c r="B142" s="30"/>
      <c r="C142" s="91"/>
      <c r="D142" s="91"/>
      <c r="E142" s="18"/>
      <c r="F142" s="20"/>
    </row>
  </sheetData>
  <mergeCells count="2">
    <mergeCell ref="A90:E90"/>
    <mergeCell ref="A135:F135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E791-E48B-49AF-8B4F-B152F3FBE880}">
  <dimension ref="A3:H70"/>
  <sheetViews>
    <sheetView topLeftCell="A53" workbookViewId="0">
      <selection activeCell="A65" sqref="A65:XFD70"/>
    </sheetView>
  </sheetViews>
  <sheetFormatPr defaultRowHeight="14.25"/>
  <cols>
    <col min="1" max="1" width="70.375" customWidth="1"/>
    <col min="2" max="2" width="16.25" bestFit="1" customWidth="1"/>
    <col min="3" max="3" width="16.75" bestFit="1" customWidth="1"/>
    <col min="4" max="4" width="15.25" bestFit="1" customWidth="1"/>
    <col min="5" max="5" width="46.5" customWidth="1"/>
  </cols>
  <sheetData>
    <row r="3" spans="1:8" ht="18">
      <c r="A3" s="2" t="s">
        <v>1</v>
      </c>
    </row>
    <row r="4" spans="1:8" ht="15">
      <c r="A4" s="15" t="s">
        <v>2</v>
      </c>
      <c r="B4" s="23" t="s">
        <v>135</v>
      </c>
      <c r="C4" s="82" t="s">
        <v>135</v>
      </c>
      <c r="D4" s="82" t="s">
        <v>273</v>
      </c>
      <c r="E4" s="16" t="s">
        <v>3</v>
      </c>
      <c r="F4" s="16" t="s">
        <v>4</v>
      </c>
      <c r="G4" s="16" t="s">
        <v>5</v>
      </c>
      <c r="H4" s="16" t="s">
        <v>6</v>
      </c>
    </row>
    <row r="5" spans="1:8" ht="15">
      <c r="A5" s="50" t="s">
        <v>173</v>
      </c>
      <c r="B5" s="51" t="s">
        <v>179</v>
      </c>
      <c r="C5" s="86">
        <f>Legend!$C$5+7</f>
        <v>46089</v>
      </c>
      <c r="D5" s="86" t="s">
        <v>274</v>
      </c>
      <c r="E5" s="48" t="s">
        <v>175</v>
      </c>
    </row>
    <row r="6" spans="1:8" ht="15">
      <c r="A6" s="50" t="s">
        <v>174</v>
      </c>
      <c r="B6" s="51" t="s">
        <v>179</v>
      </c>
      <c r="C6" s="86">
        <f>Legend!$C$5+7</f>
        <v>46089</v>
      </c>
      <c r="D6" s="86" t="s">
        <v>274</v>
      </c>
      <c r="E6" s="48" t="s">
        <v>176</v>
      </c>
    </row>
    <row r="7" spans="1:8" ht="15">
      <c r="A7" s="50" t="s">
        <v>270</v>
      </c>
      <c r="B7" s="78" t="s">
        <v>180</v>
      </c>
      <c r="C7" s="87">
        <f>Legend!$C$7-1</f>
        <v>46095</v>
      </c>
      <c r="D7" s="87" t="s">
        <v>274</v>
      </c>
      <c r="E7" s="79" t="s">
        <v>271</v>
      </c>
    </row>
    <row r="8" spans="1:8" ht="15">
      <c r="A8" s="50" t="s">
        <v>181</v>
      </c>
      <c r="B8" s="52" t="s">
        <v>183</v>
      </c>
      <c r="C8" s="94">
        <f>Legend!$C$9+3</f>
        <v>46104</v>
      </c>
      <c r="D8" s="94" t="s">
        <v>277</v>
      </c>
      <c r="E8" s="48" t="s">
        <v>182</v>
      </c>
      <c r="F8" s="18"/>
      <c r="G8" s="19"/>
      <c r="H8" s="19"/>
    </row>
    <row r="9" spans="1:8" ht="15">
      <c r="A9" s="50" t="s">
        <v>185</v>
      </c>
      <c r="B9" s="53" t="s">
        <v>208</v>
      </c>
      <c r="C9" s="97">
        <f>Legend!$C$11-30</f>
        <v>46100</v>
      </c>
      <c r="D9" s="97" t="s">
        <v>277</v>
      </c>
      <c r="E9" s="48" t="s">
        <v>304</v>
      </c>
    </row>
    <row r="10" spans="1:8" ht="15">
      <c r="A10" s="50" t="s">
        <v>204</v>
      </c>
      <c r="B10" s="53" t="s">
        <v>208</v>
      </c>
      <c r="C10" s="97">
        <f>Legend!$C$11-30</f>
        <v>46100</v>
      </c>
      <c r="D10" s="97" t="s">
        <v>277</v>
      </c>
      <c r="E10" s="48" t="s">
        <v>305</v>
      </c>
    </row>
    <row r="11" spans="1:8" ht="15">
      <c r="A11" s="64" t="s">
        <v>193</v>
      </c>
      <c r="B11" s="58" t="s">
        <v>196</v>
      </c>
      <c r="C11" s="104">
        <f>Legend!$C$5+40</f>
        <v>46122</v>
      </c>
      <c r="D11" s="104" t="s">
        <v>274</v>
      </c>
      <c r="E11" s="48" t="s">
        <v>200</v>
      </c>
      <c r="F11" s="48" t="s">
        <v>0</v>
      </c>
      <c r="G11" s="54" t="s">
        <v>0</v>
      </c>
      <c r="H11" s="54" t="s">
        <v>0</v>
      </c>
    </row>
    <row r="12" spans="1:8" ht="15">
      <c r="A12" s="64" t="s">
        <v>194</v>
      </c>
      <c r="B12" s="59" t="s">
        <v>197</v>
      </c>
      <c r="C12" s="105">
        <f>Legend!$C$5+35</f>
        <v>46117</v>
      </c>
      <c r="D12" s="105" t="s">
        <v>274</v>
      </c>
      <c r="E12" s="48" t="s">
        <v>201</v>
      </c>
      <c r="F12" s="48" t="s">
        <v>0</v>
      </c>
      <c r="G12" s="54" t="s">
        <v>0</v>
      </c>
      <c r="H12" s="54" t="s">
        <v>0</v>
      </c>
    </row>
    <row r="13" spans="1:8" ht="15">
      <c r="A13" s="64" t="s">
        <v>202</v>
      </c>
      <c r="B13" s="59" t="s">
        <v>197</v>
      </c>
      <c r="C13" s="105">
        <f>Legend!$C$5+35</f>
        <v>46117</v>
      </c>
      <c r="D13" s="105" t="s">
        <v>274</v>
      </c>
      <c r="E13" s="48" t="s">
        <v>203</v>
      </c>
      <c r="F13" s="48"/>
      <c r="G13" s="54"/>
      <c r="H13" s="54"/>
    </row>
    <row r="15" spans="1:8">
      <c r="A15" s="17" t="s">
        <v>24</v>
      </c>
      <c r="B15" s="36" t="s">
        <v>211</v>
      </c>
      <c r="C15" s="99">
        <f>Legend!$C$11-7</f>
        <v>46123</v>
      </c>
      <c r="D15" s="99" t="s">
        <v>275</v>
      </c>
      <c r="E15" s="18" t="s">
        <v>0</v>
      </c>
    </row>
    <row r="16" spans="1:8">
      <c r="A16" s="17" t="s">
        <v>28</v>
      </c>
      <c r="B16" s="38" t="s">
        <v>212</v>
      </c>
      <c r="C16" s="101">
        <f>Legend!$C$11-7</f>
        <v>46123</v>
      </c>
      <c r="D16" s="101" t="s">
        <v>275</v>
      </c>
      <c r="E16" s="18" t="s">
        <v>307</v>
      </c>
      <c r="F16" s="18" t="s">
        <v>0</v>
      </c>
      <c r="G16" s="19" t="s">
        <v>0</v>
      </c>
      <c r="H16" s="19" t="s">
        <v>0</v>
      </c>
    </row>
    <row r="19" spans="1:8">
      <c r="A19" s="17" t="s">
        <v>141</v>
      </c>
      <c r="B19" s="38" t="s">
        <v>212</v>
      </c>
      <c r="C19" s="101">
        <f>Legend!$C$11-7</f>
        <v>46123</v>
      </c>
      <c r="D19" s="101" t="s">
        <v>275</v>
      </c>
      <c r="E19" s="18" t="s">
        <v>30</v>
      </c>
      <c r="F19" s="18" t="s">
        <v>0</v>
      </c>
      <c r="G19" s="19" t="s">
        <v>0</v>
      </c>
      <c r="H19" s="19" t="s">
        <v>0</v>
      </c>
    </row>
    <row r="22" spans="1:8" ht="18">
      <c r="A22" s="2" t="s">
        <v>222</v>
      </c>
      <c r="B22" s="22"/>
      <c r="C22" s="81"/>
      <c r="D22" s="81"/>
      <c r="E22" s="47"/>
      <c r="F22" s="14"/>
      <c r="G22" s="14"/>
      <c r="H22" s="14"/>
    </row>
    <row r="23" spans="1:8" ht="15">
      <c r="A23" s="15" t="s">
        <v>2</v>
      </c>
      <c r="B23" s="23" t="s">
        <v>135</v>
      </c>
      <c r="C23" s="82" t="s">
        <v>135</v>
      </c>
      <c r="D23" s="82" t="s">
        <v>273</v>
      </c>
      <c r="E23" s="16" t="s">
        <v>3</v>
      </c>
      <c r="F23" s="16" t="s">
        <v>4</v>
      </c>
      <c r="G23" s="16" t="s">
        <v>5</v>
      </c>
      <c r="H23" s="16" t="s">
        <v>6</v>
      </c>
    </row>
    <row r="24" spans="1:8" ht="15">
      <c r="A24" s="56" t="s">
        <v>223</v>
      </c>
      <c r="B24" s="62" t="s">
        <v>210</v>
      </c>
      <c r="C24" s="106">
        <f>Legend!$C$11-15</f>
        <v>46115</v>
      </c>
      <c r="D24" s="106" t="s">
        <v>277</v>
      </c>
      <c r="E24" s="76" t="s">
        <v>229</v>
      </c>
      <c r="F24" s="48" t="s">
        <v>0</v>
      </c>
      <c r="G24" s="54" t="s">
        <v>0</v>
      </c>
      <c r="H24" s="54" t="s">
        <v>0</v>
      </c>
    </row>
    <row r="25" spans="1:8" ht="15">
      <c r="A25" s="56" t="s">
        <v>224</v>
      </c>
      <c r="B25" s="63" t="s">
        <v>211</v>
      </c>
      <c r="C25" s="107">
        <f>Legend!$C$11-7</f>
        <v>46123</v>
      </c>
      <c r="D25" s="107" t="s">
        <v>277</v>
      </c>
      <c r="E25" s="76" t="s">
        <v>230</v>
      </c>
      <c r="F25" s="48"/>
      <c r="G25" s="54"/>
      <c r="H25" s="54"/>
    </row>
    <row r="26" spans="1:8" ht="15">
      <c r="A26" s="56" t="s">
        <v>225</v>
      </c>
      <c r="B26" s="80" t="s">
        <v>272</v>
      </c>
      <c r="C26" s="108">
        <f>Legend!$C$11-2</f>
        <v>46128</v>
      </c>
      <c r="D26" s="108" t="s">
        <v>275</v>
      </c>
      <c r="E26" s="76" t="s">
        <v>231</v>
      </c>
      <c r="F26" s="48"/>
      <c r="G26" s="54"/>
      <c r="H26" s="54"/>
    </row>
    <row r="27" spans="1:8" ht="15">
      <c r="A27" s="56" t="s">
        <v>226</v>
      </c>
      <c r="B27" s="80" t="s">
        <v>272</v>
      </c>
      <c r="C27" s="108">
        <f>Legend!$C$11-2</f>
        <v>46128</v>
      </c>
      <c r="D27" s="108" t="s">
        <v>275</v>
      </c>
      <c r="E27" s="76" t="s">
        <v>232</v>
      </c>
      <c r="F27" s="48"/>
      <c r="G27" s="54"/>
      <c r="H27" s="54"/>
    </row>
    <row r="28" spans="1:8" ht="15">
      <c r="A28" s="56" t="s">
        <v>227</v>
      </c>
      <c r="B28" s="80" t="s">
        <v>272</v>
      </c>
      <c r="C28" s="108">
        <f>Legend!$C$11-2</f>
        <v>46128</v>
      </c>
      <c r="D28" s="108" t="s">
        <v>275</v>
      </c>
      <c r="E28" s="76" t="s">
        <v>233</v>
      </c>
      <c r="F28" s="48"/>
      <c r="G28" s="54"/>
      <c r="H28" s="54"/>
    </row>
    <row r="29" spans="1:8" ht="15">
      <c r="A29" s="56" t="s">
        <v>228</v>
      </c>
      <c r="B29" s="80" t="s">
        <v>272</v>
      </c>
      <c r="C29" s="108">
        <f>Legend!$C$11-2</f>
        <v>46128</v>
      </c>
      <c r="D29" s="108" t="s">
        <v>275</v>
      </c>
      <c r="E29" s="76" t="s">
        <v>234</v>
      </c>
      <c r="F29" s="48"/>
      <c r="G29" s="54"/>
      <c r="H29" s="54"/>
    </row>
    <row r="30" spans="1:8" ht="15">
      <c r="A30" s="64" t="s">
        <v>0</v>
      </c>
      <c r="B30" s="65" t="s">
        <v>0</v>
      </c>
      <c r="C30" s="109" t="s">
        <v>0</v>
      </c>
      <c r="D30" s="109"/>
      <c r="E30" s="48" t="s">
        <v>0</v>
      </c>
      <c r="F30" s="64" t="s">
        <v>0</v>
      </c>
      <c r="G30" s="60"/>
      <c r="H30" s="60"/>
    </row>
    <row r="32" spans="1:8" ht="18">
      <c r="A32" s="4" t="s">
        <v>33</v>
      </c>
    </row>
    <row r="33" spans="1:8" ht="28.5">
      <c r="A33" s="134" t="s">
        <v>318</v>
      </c>
      <c r="B33" s="37" t="s">
        <v>214</v>
      </c>
      <c r="C33" s="100">
        <f>Legend!$C$11-1</f>
        <v>46129</v>
      </c>
      <c r="D33" s="100" t="s">
        <v>275</v>
      </c>
      <c r="E33" s="18" t="s">
        <v>0</v>
      </c>
      <c r="F33" s="18" t="s">
        <v>0</v>
      </c>
      <c r="G33" s="19" t="s">
        <v>0</v>
      </c>
      <c r="H33" s="19" t="s">
        <v>0</v>
      </c>
    </row>
    <row r="35" spans="1:8" ht="18">
      <c r="A35" s="6" t="s">
        <v>52</v>
      </c>
    </row>
    <row r="36" spans="1:8">
      <c r="A36" s="17" t="s">
        <v>57</v>
      </c>
      <c r="B36" s="38" t="s">
        <v>212</v>
      </c>
      <c r="C36" s="101">
        <f>Legend!$C$11</f>
        <v>46130</v>
      </c>
      <c r="D36" s="101" t="s">
        <v>275</v>
      </c>
      <c r="E36" s="18" t="s">
        <v>0</v>
      </c>
      <c r="F36" s="18" t="s">
        <v>0</v>
      </c>
      <c r="G36" s="19" t="s">
        <v>0</v>
      </c>
      <c r="H36" s="19" t="s">
        <v>0</v>
      </c>
    </row>
    <row r="39" spans="1:8" ht="18">
      <c r="A39" s="7" t="s">
        <v>59</v>
      </c>
    </row>
    <row r="40" spans="1:8">
      <c r="A40" s="17" t="s">
        <v>146</v>
      </c>
      <c r="B40" s="37" t="s">
        <v>214</v>
      </c>
      <c r="C40" s="100">
        <f>Legend!$C$11-1</f>
        <v>46129</v>
      </c>
      <c r="D40" s="100" t="s">
        <v>275</v>
      </c>
      <c r="E40" s="18" t="s">
        <v>0</v>
      </c>
      <c r="F40" s="18" t="s">
        <v>0</v>
      </c>
      <c r="G40" s="19" t="s">
        <v>0</v>
      </c>
      <c r="H40" s="19" t="s">
        <v>0</v>
      </c>
    </row>
    <row r="42" spans="1:8" ht="18">
      <c r="A42" s="8" t="s">
        <v>62</v>
      </c>
    </row>
    <row r="43" spans="1:8">
      <c r="A43" s="17" t="s">
        <v>69</v>
      </c>
      <c r="B43" s="37" t="s">
        <v>214</v>
      </c>
      <c r="C43" s="100">
        <f>Legend!$C$11-1</f>
        <v>46129</v>
      </c>
      <c r="D43" s="100" t="s">
        <v>275</v>
      </c>
      <c r="E43" s="18" t="s">
        <v>0</v>
      </c>
      <c r="F43" s="18" t="s">
        <v>0</v>
      </c>
      <c r="G43" s="19" t="s">
        <v>0</v>
      </c>
      <c r="H43" s="19" t="s">
        <v>0</v>
      </c>
    </row>
    <row r="44" spans="1:8">
      <c r="A44" s="17" t="s">
        <v>70</v>
      </c>
      <c r="B44" s="38" t="s">
        <v>212</v>
      </c>
      <c r="C44" s="101">
        <f>Legend!$C$11-30</f>
        <v>46100</v>
      </c>
      <c r="D44" s="101" t="s">
        <v>275</v>
      </c>
      <c r="E44" s="18" t="s">
        <v>71</v>
      </c>
      <c r="F44" s="18" t="s">
        <v>0</v>
      </c>
      <c r="G44" s="19" t="s">
        <v>0</v>
      </c>
      <c r="H44" s="19" t="s">
        <v>0</v>
      </c>
    </row>
    <row r="45" spans="1:8">
      <c r="A45" s="17" t="s">
        <v>72</v>
      </c>
      <c r="B45" s="38" t="s">
        <v>212</v>
      </c>
      <c r="C45" s="101">
        <f>Legend!$C$11-30</f>
        <v>46100</v>
      </c>
      <c r="D45" s="101" t="s">
        <v>275</v>
      </c>
      <c r="E45" s="18" t="s">
        <v>0</v>
      </c>
      <c r="F45" s="18" t="s">
        <v>0</v>
      </c>
      <c r="G45" s="19" t="s">
        <v>0</v>
      </c>
      <c r="H45" s="19" t="s">
        <v>0</v>
      </c>
    </row>
    <row r="47" spans="1:8" ht="18">
      <c r="A47" s="9" t="s">
        <v>82</v>
      </c>
    </row>
    <row r="48" spans="1:8">
      <c r="A48" s="17" t="s">
        <v>109</v>
      </c>
      <c r="B48" s="37" t="s">
        <v>214</v>
      </c>
      <c r="C48" s="100">
        <f>Legend!$C$11-1</f>
        <v>46129</v>
      </c>
      <c r="D48" s="100" t="s">
        <v>275</v>
      </c>
      <c r="E48" s="18" t="s">
        <v>0</v>
      </c>
      <c r="F48" s="18" t="s">
        <v>0</v>
      </c>
      <c r="G48" s="19" t="s">
        <v>0</v>
      </c>
      <c r="H48" s="19" t="s">
        <v>0</v>
      </c>
    </row>
    <row r="50" spans="1:8" ht="18">
      <c r="A50" s="10" t="s">
        <v>86</v>
      </c>
    </row>
    <row r="51" spans="1:8">
      <c r="A51" s="17" t="s">
        <v>94</v>
      </c>
      <c r="B51" s="37" t="s">
        <v>210</v>
      </c>
      <c r="C51" s="100">
        <f>Legend!$C$11-1</f>
        <v>46129</v>
      </c>
      <c r="D51" s="100" t="s">
        <v>275</v>
      </c>
      <c r="E51" s="18" t="s">
        <v>0</v>
      </c>
      <c r="F51" s="18" t="s">
        <v>0</v>
      </c>
      <c r="G51" s="19" t="s">
        <v>0</v>
      </c>
      <c r="H51" s="19" t="s">
        <v>0</v>
      </c>
    </row>
    <row r="52" spans="1:8">
      <c r="A52" s="17" t="s">
        <v>95</v>
      </c>
      <c r="B52" s="38" t="s">
        <v>212</v>
      </c>
      <c r="C52" s="101">
        <f>Legend!$C$11</f>
        <v>46130</v>
      </c>
      <c r="D52" s="101" t="s">
        <v>275</v>
      </c>
      <c r="E52" s="18" t="s">
        <v>0</v>
      </c>
      <c r="F52" s="18" t="s">
        <v>0</v>
      </c>
      <c r="G52" s="19" t="s">
        <v>0</v>
      </c>
      <c r="H52" s="19" t="s">
        <v>0</v>
      </c>
    </row>
    <row r="53" spans="1:8">
      <c r="A53" s="17" t="s">
        <v>96</v>
      </c>
      <c r="B53" s="38" t="s">
        <v>212</v>
      </c>
      <c r="C53" s="101">
        <f>Legend!$C$11</f>
        <v>46130</v>
      </c>
      <c r="D53" s="101" t="s">
        <v>275</v>
      </c>
      <c r="E53" s="18" t="s">
        <v>0</v>
      </c>
      <c r="F53" s="18" t="s">
        <v>0</v>
      </c>
      <c r="G53" s="19" t="s">
        <v>0</v>
      </c>
      <c r="H53" s="19" t="s">
        <v>0</v>
      </c>
    </row>
    <row r="54" spans="1:8">
      <c r="A54" s="17" t="s">
        <v>339</v>
      </c>
      <c r="B54" s="38" t="s">
        <v>212</v>
      </c>
      <c r="C54" s="101">
        <f>Legend!$C$11</f>
        <v>46130</v>
      </c>
      <c r="D54" s="101" t="s">
        <v>275</v>
      </c>
      <c r="E54" s="18" t="s">
        <v>98</v>
      </c>
      <c r="F54" s="18" t="s">
        <v>0</v>
      </c>
      <c r="G54" s="19" t="s">
        <v>0</v>
      </c>
      <c r="H54" s="19" t="s">
        <v>0</v>
      </c>
    </row>
    <row r="56" spans="1:8" s="14" customFormat="1" ht="36" customHeight="1">
      <c r="A56" s="67" t="s">
        <v>246</v>
      </c>
      <c r="B56" s="22"/>
      <c r="C56" s="81"/>
      <c r="D56" s="81"/>
      <c r="E56" s="47"/>
    </row>
    <row r="57" spans="1:8" s="14" customFormat="1" ht="19.899999999999999" customHeight="1">
      <c r="A57" s="67" t="s">
        <v>247</v>
      </c>
      <c r="B57" s="22"/>
      <c r="C57" s="81"/>
      <c r="D57" s="81"/>
      <c r="E57" s="47"/>
    </row>
    <row r="58" spans="1:8" s="14" customFormat="1" ht="19.899999999999999" customHeight="1">
      <c r="A58" s="15" t="s">
        <v>2</v>
      </c>
      <c r="B58" s="23" t="s">
        <v>135</v>
      </c>
      <c r="C58" s="82" t="s">
        <v>135</v>
      </c>
      <c r="D58" s="82" t="s">
        <v>273</v>
      </c>
      <c r="E58" s="16" t="s">
        <v>3</v>
      </c>
      <c r="F58" s="16" t="s">
        <v>4</v>
      </c>
      <c r="G58" s="16" t="s">
        <v>5</v>
      </c>
      <c r="H58" s="16" t="s">
        <v>6</v>
      </c>
    </row>
    <row r="59" spans="1:8" s="55" customFormat="1" ht="19.899999999999999" customHeight="1">
      <c r="A59" s="56" t="s">
        <v>235</v>
      </c>
      <c r="B59" s="66" t="s">
        <v>239</v>
      </c>
      <c r="C59" s="114" t="s">
        <v>244</v>
      </c>
      <c r="D59" s="114" t="s">
        <v>275</v>
      </c>
      <c r="E59" s="76" t="s">
        <v>240</v>
      </c>
      <c r="F59" s="48" t="s">
        <v>0</v>
      </c>
      <c r="G59" s="54" t="s">
        <v>0</v>
      </c>
      <c r="H59" s="54" t="s">
        <v>0</v>
      </c>
    </row>
    <row r="60" spans="1:8" s="55" customFormat="1" ht="19.899999999999999" customHeight="1">
      <c r="A60" s="56" t="s">
        <v>236</v>
      </c>
      <c r="B60" s="66" t="s">
        <v>239</v>
      </c>
      <c r="C60" s="114" t="s">
        <v>244</v>
      </c>
      <c r="D60" s="114" t="s">
        <v>275</v>
      </c>
      <c r="E60" s="76" t="s">
        <v>241</v>
      </c>
      <c r="F60" s="48"/>
      <c r="G60" s="54"/>
      <c r="H60" s="54"/>
    </row>
    <row r="61" spans="1:8" s="55" customFormat="1" ht="19.899999999999999" customHeight="1">
      <c r="A61" s="56" t="s">
        <v>237</v>
      </c>
      <c r="B61" s="66" t="s">
        <v>239</v>
      </c>
      <c r="C61" s="114" t="s">
        <v>244</v>
      </c>
      <c r="D61" s="114" t="s">
        <v>275</v>
      </c>
      <c r="E61" s="76" t="s">
        <v>242</v>
      </c>
      <c r="F61" s="48"/>
      <c r="G61" s="54"/>
      <c r="H61" s="54"/>
    </row>
    <row r="62" spans="1:8" s="55" customFormat="1" ht="19.899999999999999" customHeight="1">
      <c r="A62" s="56" t="s">
        <v>238</v>
      </c>
      <c r="B62" s="66" t="s">
        <v>239</v>
      </c>
      <c r="C62" s="114" t="s">
        <v>244</v>
      </c>
      <c r="D62" s="114" t="s">
        <v>275</v>
      </c>
      <c r="E62" s="76" t="s">
        <v>243</v>
      </c>
      <c r="F62" s="48"/>
      <c r="G62" s="54"/>
      <c r="H62" s="54"/>
    </row>
    <row r="63" spans="1:8" s="55" customFormat="1" ht="19.899999999999999" customHeight="1">
      <c r="A63" s="64" t="s">
        <v>0</v>
      </c>
      <c r="B63" s="65" t="s">
        <v>0</v>
      </c>
      <c r="C63" s="109" t="s">
        <v>0</v>
      </c>
      <c r="D63" s="109"/>
      <c r="E63" s="48" t="s">
        <v>0</v>
      </c>
      <c r="F63" s="64" t="s">
        <v>0</v>
      </c>
      <c r="G63" s="60"/>
      <c r="H63" s="60"/>
    </row>
    <row r="65" spans="1:8" s="72" customFormat="1" ht="19.899999999999999" customHeight="1">
      <c r="A65" s="67" t="s">
        <v>245</v>
      </c>
      <c r="B65" s="71"/>
      <c r="C65" s="115"/>
      <c r="D65" s="115"/>
      <c r="E65" s="77"/>
    </row>
    <row r="66" spans="1:8" s="14" customFormat="1" ht="19.899999999999999" customHeight="1">
      <c r="A66" s="15" t="s">
        <v>2</v>
      </c>
      <c r="B66" s="23" t="s">
        <v>135</v>
      </c>
      <c r="C66" s="82" t="s">
        <v>135</v>
      </c>
      <c r="D66" s="82" t="s">
        <v>273</v>
      </c>
      <c r="E66" s="16" t="s">
        <v>3</v>
      </c>
      <c r="F66" s="16" t="s">
        <v>4</v>
      </c>
      <c r="G66" s="16" t="s">
        <v>5</v>
      </c>
      <c r="H66" s="16" t="s">
        <v>6</v>
      </c>
    </row>
    <row r="67" spans="1:8" s="55" customFormat="1" ht="19.899999999999999" customHeight="1">
      <c r="A67" s="56" t="s">
        <v>249</v>
      </c>
      <c r="B67" s="70" t="s">
        <v>265</v>
      </c>
      <c r="C67" s="116" t="s">
        <v>244</v>
      </c>
      <c r="D67" s="116" t="s">
        <v>275</v>
      </c>
      <c r="E67" s="76" t="s">
        <v>252</v>
      </c>
      <c r="F67" s="48" t="s">
        <v>0</v>
      </c>
      <c r="G67" s="54" t="s">
        <v>0</v>
      </c>
      <c r="H67" s="54" t="s">
        <v>0</v>
      </c>
    </row>
    <row r="68" spans="1:8" s="55" customFormat="1" ht="19.899999999999999" customHeight="1">
      <c r="A68" s="56" t="s">
        <v>250</v>
      </c>
      <c r="B68" s="66" t="s">
        <v>239</v>
      </c>
      <c r="C68" s="114" t="s">
        <v>244</v>
      </c>
      <c r="D68" s="114" t="s">
        <v>275</v>
      </c>
      <c r="E68" s="76" t="s">
        <v>253</v>
      </c>
      <c r="F68" s="48"/>
      <c r="G68" s="54"/>
      <c r="H68" s="54"/>
    </row>
    <row r="69" spans="1:8" s="55" customFormat="1" ht="19.899999999999999" customHeight="1">
      <c r="A69" s="56" t="s">
        <v>342</v>
      </c>
      <c r="B69" s="66" t="s">
        <v>266</v>
      </c>
      <c r="C69" s="114" t="s">
        <v>244</v>
      </c>
      <c r="D69" s="114" t="s">
        <v>275</v>
      </c>
      <c r="E69" s="76" t="s">
        <v>254</v>
      </c>
      <c r="F69" s="48"/>
      <c r="G69" s="54"/>
      <c r="H69" s="54"/>
    </row>
    <row r="70" spans="1:8" s="55" customFormat="1" ht="19.899999999999999" customHeight="1">
      <c r="A70" s="64" t="s">
        <v>0</v>
      </c>
      <c r="B70" s="65" t="s">
        <v>0</v>
      </c>
      <c r="C70" s="109" t="s">
        <v>0</v>
      </c>
      <c r="D70" s="109"/>
      <c r="E70" s="48" t="s">
        <v>0</v>
      </c>
      <c r="F70" s="64" t="s">
        <v>0</v>
      </c>
      <c r="G70" s="60"/>
      <c r="H70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</vt:lpstr>
      <vt:lpstr>Operations Process</vt:lpstr>
      <vt:lpstr>Faculty Led Programs</vt:lpstr>
      <vt:lpstr>Internships</vt:lpstr>
      <vt:lpstr>QC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Varalakshmi Naudoori</cp:lastModifiedBy>
  <cp:revision>0</cp:revision>
  <dcterms:created xsi:type="dcterms:W3CDTF">2023-10-04T07:34:14Z</dcterms:created>
  <dcterms:modified xsi:type="dcterms:W3CDTF">2026-04-04T10:30:26Z</dcterms:modified>
</cp:coreProperties>
</file>