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af977624bf256/Documents/GitHub/MondayProgramSync/MondayProgramSync/programs/2026-10_India_Pilot_3/"/>
    </mc:Choice>
  </mc:AlternateContent>
  <xr:revisionPtr revIDLastSave="6" documentId="13_ncr:1_{FB8EDF9B-B36C-468B-8C0C-CBFF3C9BECE2}" xr6:coauthVersionLast="47" xr6:coauthVersionMax="47" xr10:uidLastSave="{146888DE-C1E4-439D-86C4-7BC5650D6E4B}"/>
  <bookViews>
    <workbookView xWindow="-120" yWindow="-120" windowWidth="21840" windowHeight="13020" xr2:uid="{00000000-000D-0000-FFFF-FFFF00000000}"/>
  </bookViews>
  <sheets>
    <sheet name="Legend" sheetId="2" r:id="rId1"/>
    <sheet name="Faculty Led Program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116" i="3"/>
  <c r="C112" i="3"/>
  <c r="C111" i="3"/>
  <c r="C110" i="3"/>
  <c r="C109" i="3"/>
  <c r="C108" i="3"/>
  <c r="C103" i="3"/>
  <c r="C102" i="3"/>
  <c r="C101" i="3"/>
  <c r="C100" i="3"/>
  <c r="C99" i="3"/>
  <c r="C98" i="3"/>
  <c r="C94" i="3"/>
  <c r="C93" i="3"/>
  <c r="C50" i="3"/>
  <c r="C88" i="3"/>
  <c r="C87" i="3"/>
  <c r="C86" i="3"/>
  <c r="C85" i="3"/>
  <c r="C83" i="3"/>
  <c r="C84" i="3"/>
  <c r="C82" i="3"/>
  <c r="C78" i="3"/>
  <c r="C76" i="3"/>
  <c r="C75" i="3"/>
  <c r="C71" i="3"/>
  <c r="C69" i="3"/>
  <c r="C70" i="3"/>
  <c r="C68" i="3"/>
  <c r="C64" i="3"/>
  <c r="C63" i="3"/>
  <c r="C62" i="3"/>
  <c r="C58" i="3"/>
  <c r="C57" i="3"/>
  <c r="C56" i="3"/>
  <c r="C51" i="3"/>
  <c r="C15" i="3"/>
  <c r="C49" i="3"/>
  <c r="C48" i="3"/>
  <c r="C44" i="3"/>
  <c r="C39" i="3"/>
  <c r="C38" i="3"/>
  <c r="C33" i="3"/>
  <c r="C32" i="3"/>
  <c r="C31" i="3"/>
  <c r="C30" i="3"/>
  <c r="C29" i="3"/>
  <c r="C28" i="3"/>
  <c r="C26" i="3"/>
  <c r="C25" i="3"/>
  <c r="C27" i="3"/>
  <c r="C24" i="3"/>
  <c r="C21" i="3"/>
  <c r="C16" i="3"/>
  <c r="C20" i="3"/>
  <c r="C8" i="3"/>
  <c r="C11" i="3"/>
  <c r="C7" i="3"/>
  <c r="C6" i="3"/>
  <c r="C5" i="3"/>
  <c r="C89" i="3"/>
  <c r="C9" i="3" l="1"/>
  <c r="C115" i="3" l="1"/>
  <c r="C114" i="3"/>
  <c r="C113" i="3"/>
  <c r="C77" i="3"/>
  <c r="C52" i="3"/>
  <c r="C23" i="3"/>
  <c r="C22" i="3"/>
  <c r="C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122" authorId="0" shapeId="0" xr:uid="{895ED85B-31F0-46C3-923D-469C0C739D5B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sharedStrings.xml><?xml version="1.0" encoding="utf-8"?>
<sst xmlns="http://schemas.openxmlformats.org/spreadsheetml/2006/main" count="640" uniqueCount="195">
  <si>
    <t/>
  </si>
  <si>
    <t>Action Items while sending proposals</t>
  </si>
  <si>
    <t>Name</t>
  </si>
  <si>
    <t>Notes</t>
  </si>
  <si>
    <t>Process #</t>
  </si>
  <si>
    <t>Timeline - Start</t>
  </si>
  <si>
    <t>Timeline - End</t>
  </si>
  <si>
    <t>Ensure sales hand-off template is filled; clarify doubts, if any before working on the proposal</t>
  </si>
  <si>
    <t>could vary</t>
  </si>
  <si>
    <t>Action Items after program confirmation</t>
  </si>
  <si>
    <t>Create checklist for delivery</t>
  </si>
  <si>
    <t>Plan and prepare first aid kits and other relevant material specific to programs</t>
  </si>
  <si>
    <t>Print checklists and relevant documents</t>
  </si>
  <si>
    <t>Send thank you notes to partner organizations / companies</t>
  </si>
  <si>
    <t>Hotels</t>
  </si>
  <si>
    <t>Release block for other hotels across locations</t>
  </si>
  <si>
    <t>Send advance to chosen hotels: CCA / bank transfer / outward remittance</t>
  </si>
  <si>
    <t>Flight/Train bookings</t>
  </si>
  <si>
    <t>Confirm preferred flight/train option with client</t>
  </si>
  <si>
    <t>Collect participant information / passport scans</t>
  </si>
  <si>
    <t>Guides</t>
  </si>
  <si>
    <t>Send final itinerary / checklist and PAX info to guides</t>
  </si>
  <si>
    <t>Meeting Rooms</t>
  </si>
  <si>
    <t>Pay advance, if needed</t>
  </si>
  <si>
    <t>Transport</t>
  </si>
  <si>
    <t>Asian DMCs require this earlier</t>
  </si>
  <si>
    <t>Meals</t>
  </si>
  <si>
    <t>Confirm meal requirements to be included</t>
  </si>
  <si>
    <t>Research appropriate options in each destination (if not done already)</t>
  </si>
  <si>
    <t>sometimes we have specific seating requirement</t>
  </si>
  <si>
    <t>Contact shortlisted venues to get availability, rates and menu details</t>
  </si>
  <si>
    <t>Finalilze and block chosen venues</t>
  </si>
  <si>
    <t>sometimes client approval is needed</t>
  </si>
  <si>
    <t>Immersions</t>
  </si>
  <si>
    <t>Finalilze and block chosen options with any specific instruction (e.g. specific guides, atomic bomb survivor etc.)</t>
  </si>
  <si>
    <t>Org Visits</t>
  </si>
  <si>
    <t>Collect relevant info to be shared (e.g. bio book) from client</t>
  </si>
  <si>
    <t>Category-wise steps for confirmed programs</t>
  </si>
  <si>
    <t xml:space="preserve">Legend for time-limits within which things need to be done: </t>
  </si>
  <si>
    <t xml:space="preserve">R </t>
  </si>
  <si>
    <t>stands for date of receiving RFP</t>
  </si>
  <si>
    <t xml:space="preserve">R+ </t>
  </si>
  <si>
    <t>stands for no. of days after receiving RFP</t>
  </si>
  <si>
    <t xml:space="preserve">S </t>
  </si>
  <si>
    <t>stands for proposal submission date</t>
  </si>
  <si>
    <t xml:space="preserve">S-/+ </t>
  </si>
  <si>
    <t>stands for no. of days before/after proposal submission date</t>
  </si>
  <si>
    <t xml:space="preserve">C </t>
  </si>
  <si>
    <t xml:space="preserve">C+ </t>
  </si>
  <si>
    <t>stands for no. of days after confirmation/go-ahead received from client</t>
  </si>
  <si>
    <t xml:space="preserve">P </t>
  </si>
  <si>
    <t>stands for program dates</t>
  </si>
  <si>
    <t xml:space="preserve">P- </t>
  </si>
  <si>
    <t>stands for no. of days before program start</t>
  </si>
  <si>
    <t xml:space="preserve">P+ </t>
  </si>
  <si>
    <t>stands for no. of days after the program ends</t>
  </si>
  <si>
    <t>Symbol</t>
  </si>
  <si>
    <t>Meaning</t>
  </si>
  <si>
    <t>Operations Process (Proposal to Delivery)</t>
  </si>
  <si>
    <t>Timeframe (Date)</t>
  </si>
  <si>
    <t>Date</t>
  </si>
  <si>
    <t>stands for date of confirmation (for repeat clients, this can be when they tell us group size)</t>
  </si>
  <si>
    <t>ensure payments &amp; cancellation are on agreeable terms</t>
  </si>
  <si>
    <t>Send dietary restrictions</t>
  </si>
  <si>
    <t>Finalize menu with dietary restrictions</t>
  </si>
  <si>
    <t>Reconfirm seating and menu</t>
  </si>
  <si>
    <t>Input actual deadline of submitting proposal or Actual date of submitting proposal</t>
  </si>
  <si>
    <t>Input actual date of receiving RFP</t>
  </si>
  <si>
    <t>Input actual date of program confirmation</t>
  </si>
  <si>
    <t>Input actual program start date</t>
  </si>
  <si>
    <t>Enter Program end date + 7 days</t>
  </si>
  <si>
    <t>Send thank you notes on the same day of the visit (could vary based on the work load)</t>
  </si>
  <si>
    <t>PE</t>
  </si>
  <si>
    <t>stands for program end date</t>
  </si>
  <si>
    <t>Input actual program end date</t>
  </si>
  <si>
    <t>Document Version History</t>
  </si>
  <si>
    <t>Modified By</t>
  </si>
  <si>
    <t>Modified On</t>
  </si>
  <si>
    <t>Version #</t>
  </si>
  <si>
    <t>Comments</t>
  </si>
  <si>
    <t>Siddhanth Waghmare</t>
  </si>
  <si>
    <t>Updated a checklist for End-To-End Operations Process (Proposal to Delivery); created excel sheet from Monday board (Operations Process)</t>
  </si>
  <si>
    <t>R+1</t>
  </si>
  <si>
    <t>R+7</t>
  </si>
  <si>
    <t>ENHANCED: Real-time tracking</t>
  </si>
  <si>
    <t>C+3</t>
  </si>
  <si>
    <t>S</t>
  </si>
  <si>
    <t>Pre-departure planning</t>
  </si>
  <si>
    <t>Mandatory vendor service specification documentation</t>
  </si>
  <si>
    <t>NEW: All limitations documented</t>
  </si>
  <si>
    <t>C+1</t>
  </si>
  <si>
    <t>C+7</t>
  </si>
  <si>
    <t>P-15</t>
  </si>
  <si>
    <t>P-1</t>
  </si>
  <si>
    <t>Triple Verification Protocol</t>
  </si>
  <si>
    <t>-</t>
  </si>
  <si>
    <t>Service failure compensation processing</t>
  </si>
  <si>
    <t>Local partner performance evaluation</t>
  </si>
  <si>
    <t>Process improvement documentation</t>
  </si>
  <si>
    <t>NEW: Rapid issue identification</t>
  </si>
  <si>
    <t>NEW: Proactive client relations</t>
  </si>
  <si>
    <t>NEW: Continuous improvement</t>
  </si>
  <si>
    <t>Created on</t>
  </si>
  <si>
    <t>This upgraded checklist incorporates specific learnings from the Ohio State KSA Spain and JADE programs to prevent recurrence of identified issues while maintaining operational excellence.</t>
  </si>
  <si>
    <t>Milestone</t>
  </si>
  <si>
    <t>Working on RFP</t>
  </si>
  <si>
    <t>Delivery</t>
  </si>
  <si>
    <t>Planning</t>
  </si>
  <si>
    <t>Complete and review the costing sheet and proposal</t>
  </si>
  <si>
    <t>Block all proposed hotels and guides</t>
  </si>
  <si>
    <t>Followup with client/sales on the proposal status to release or keep the blocks</t>
  </si>
  <si>
    <t>Proposal confirmation timeline could vary</t>
  </si>
  <si>
    <t>Action Items after proposal is won</t>
  </si>
  <si>
    <t>Sign contracts with hotels and DMCs</t>
  </si>
  <si>
    <t>Followup with client/sales on program confirmation date</t>
  </si>
  <si>
    <t>timeframe could vary</t>
  </si>
  <si>
    <t>Send deposit invoice to university</t>
  </si>
  <si>
    <t>Check proposal terms and conditions</t>
  </si>
  <si>
    <t>Create mastersheet</t>
  </si>
  <si>
    <t>Use template and fill information on an on-going basis</t>
  </si>
  <si>
    <t>Set up Monday.com/google sheet for collaboration with all university stakeholders</t>
  </si>
  <si>
    <t>Use participant data template #to client</t>
  </si>
  <si>
    <t>Refer to India orientation PPT</t>
  </si>
  <si>
    <t xml:space="preserve">Prepare for in-person/online program orientation and safety briefing </t>
  </si>
  <si>
    <t>Send balance invoice to university</t>
  </si>
  <si>
    <t>Send final program services agreement</t>
  </si>
  <si>
    <t>Create and share pre-departure guide</t>
  </si>
  <si>
    <t>Refer to standard pre dep template</t>
  </si>
  <si>
    <t>Refer to mastersheet for template</t>
  </si>
  <si>
    <t>Send post program invoice to the university</t>
  </si>
  <si>
    <t>Brief them about Authentica standards</t>
  </si>
  <si>
    <t>Complete program orientation for guides and local partners</t>
  </si>
  <si>
    <t>Verify pre-program delivery checklist</t>
  </si>
  <si>
    <t>Refer template</t>
  </si>
  <si>
    <t>Get confirmation on final service requirements from university</t>
  </si>
  <si>
    <t>Confirm final group size, hotel blocks, transport, guides, meals, academic content and cultural immersions</t>
  </si>
  <si>
    <t>Block and sign contracts with chosen hotels and procure invoices with payment details</t>
  </si>
  <si>
    <t>As per updated numbers received from the university</t>
  </si>
  <si>
    <t>Collect rooming list from client and send it to hotels</t>
  </si>
  <si>
    <t>Book tickets (either with vendor or directly online) and share tickets with university</t>
  </si>
  <si>
    <t>Book dates of preferred guides (Directly or with DMC)</t>
  </si>
  <si>
    <t>Send draft itinerary to guides/DMC along with the academic objective briefing</t>
  </si>
  <si>
    <t>Confirm exact requirement from client (preferred venue location, purpose of meeting, group size, AV requirement, F&amp;B etc.)</t>
  </si>
  <si>
    <t>Identify, block and finalize venue</t>
  </si>
  <si>
    <t>Re-confirm exact requirements from university and share it with vendors</t>
  </si>
  <si>
    <t>Confirm requirement for each destination / specific visits or requirements (e.g. seatbelts, wheelchair acess etc.) and share with vendors/DMC</t>
  </si>
  <si>
    <t>Send transport/DMC itinerary to check about routes, timings or any specific requirements/issues</t>
  </si>
  <si>
    <t>Share arrival and departure schedule to university and share it with vendors/DMC</t>
  </si>
  <si>
    <t>As per the mastersheet template</t>
  </si>
  <si>
    <t>Send final itinerary and placard</t>
  </si>
  <si>
    <t>Share participant data template to collect information (including scanned passport copies)</t>
  </si>
  <si>
    <t>Post Program Action items</t>
  </si>
  <si>
    <t>Settle balance payments of all vendors</t>
  </si>
  <si>
    <t xml:space="preserve">Submit expense report to HQ </t>
  </si>
  <si>
    <t>Upload media to zoho drive</t>
  </si>
  <si>
    <t>Brief PDs/Content partners regarding program theme and requirements</t>
  </si>
  <si>
    <t>Finalize visits in discussion with the client and PDs</t>
  </si>
  <si>
    <t>Get logistical contacts from PDs at for each visit</t>
  </si>
  <si>
    <t>Co-ordinate with organizations about the visit (timings, address, meals, security protocols like passports, roster sheet, license plate)</t>
  </si>
  <si>
    <t>Plan and procure gifts for organization visits</t>
  </si>
  <si>
    <t>Use learnings template in Mastersheet</t>
  </si>
  <si>
    <t>Sid, Vedanth and VL</t>
  </si>
  <si>
    <t>Modified the list for specific action oriented goals. Separated action items Vs quality checklist</t>
  </si>
  <si>
    <t>Hand-off to ops team</t>
  </si>
  <si>
    <t>R+2</t>
  </si>
  <si>
    <t>Detail out the requirements and send it to DMCs/Vendors</t>
  </si>
  <si>
    <t xml:space="preserve">Using draft itinerary template </t>
  </si>
  <si>
    <t xml:space="preserve">Create a costing sheet with quotes from DMCs/hotels </t>
  </si>
  <si>
    <t>R+9</t>
  </si>
  <si>
    <t>Use formats like hotel sheet to finalize hotel options</t>
  </si>
  <si>
    <t>Submit proposal to client</t>
  </si>
  <si>
    <t>Sales team submits the proposal</t>
  </si>
  <si>
    <t>S+10</t>
  </si>
  <si>
    <t>W</t>
  </si>
  <si>
    <t>stands for date when client approves our proposal</t>
  </si>
  <si>
    <t>Input actual date when program is won</t>
  </si>
  <si>
    <t>P-76</t>
  </si>
  <si>
    <t>P-22</t>
  </si>
  <si>
    <t>P-32</t>
  </si>
  <si>
    <t>P-10</t>
  </si>
  <si>
    <t>P-5</t>
  </si>
  <si>
    <t>PE+5</t>
  </si>
  <si>
    <t>PE+10</t>
  </si>
  <si>
    <t>W+1</t>
  </si>
  <si>
    <t>P-66</t>
  </si>
  <si>
    <t>P-44</t>
  </si>
  <si>
    <t>P-39</t>
  </si>
  <si>
    <t>W+5</t>
  </si>
  <si>
    <t>P-42</t>
  </si>
  <si>
    <t>P-40</t>
  </si>
  <si>
    <t>Reconfirm number of rooms after we receive confirmed group size</t>
  </si>
  <si>
    <t xml:space="preserve">Debrief with all stakeholders </t>
  </si>
  <si>
    <t>PE+22</t>
  </si>
  <si>
    <t>PE+15</t>
  </si>
  <si>
    <t>Updated timelines of all action items. Added a new milestone "W"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</si>
</sst>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4009]dddd\,\ d\ mmmm\,\ yyyy;@"/>
    <numFmt numFmtId="166" formatCode="ddd\ dd\ mmm\ yyyy"/>
  </numFmts>
  <fonts count="21">
    <font>
      <sz val="11"/>
      <name val="Arial"/>
      <family val="1"/>
    </font>
    <font>
      <b/>
      <sz val="15"/>
      <name val="Muli"/>
    </font>
    <font>
      <sz val="11"/>
      <name val="Muli"/>
    </font>
    <font>
      <b/>
      <sz val="14"/>
      <color rgb="FF0086C0"/>
      <name val="Muli"/>
    </font>
    <font>
      <b/>
      <sz val="11"/>
      <color rgb="FF000000"/>
      <name val="Muli"/>
    </font>
    <font>
      <sz val="11"/>
      <color rgb="FFFFFFFF"/>
      <name val="Muli"/>
    </font>
    <font>
      <b/>
      <sz val="14"/>
      <color rgb="FFFF5AC4"/>
      <name val="Muli"/>
    </font>
    <font>
      <b/>
      <sz val="14"/>
      <color rgb="FF579BFC"/>
      <name val="Muli"/>
    </font>
    <font>
      <b/>
      <sz val="14"/>
      <color rgb="FFA25DDC"/>
      <name val="Muli"/>
    </font>
    <font>
      <b/>
      <sz val="14"/>
      <color rgb="FF00C875"/>
      <name val="Muli"/>
    </font>
    <font>
      <b/>
      <sz val="14"/>
      <color rgb="FF808080"/>
      <name val="Muli"/>
    </font>
    <font>
      <b/>
      <sz val="14"/>
      <color rgb="FFE2445C"/>
      <name val="Muli"/>
    </font>
    <font>
      <b/>
      <sz val="14"/>
      <color rgb="FFFF642E"/>
      <name val="Muli"/>
    </font>
    <font>
      <b/>
      <sz val="14"/>
      <color rgb="FFFFCB00"/>
      <name val="Muli"/>
    </font>
    <font>
      <sz val="10"/>
      <name val="Muli"/>
    </font>
    <font>
      <b/>
      <sz val="10"/>
      <name val="Muli"/>
    </font>
    <font>
      <b/>
      <sz val="11"/>
      <name val="Muli"/>
    </font>
    <font>
      <b/>
      <sz val="11"/>
      <color rgb="FFFFFFFF"/>
      <name val="Muli"/>
    </font>
    <font>
      <b/>
      <sz val="14"/>
      <color theme="9"/>
      <name val="Muli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808080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FF158A"/>
      </patternFill>
    </fill>
    <fill>
      <patternFill patternType="solid">
        <fgColor rgb="FF784BD1"/>
      </patternFill>
    </fill>
    <fill>
      <patternFill patternType="solid">
        <fgColor rgb="FFA25DDC"/>
      </patternFill>
    </fill>
    <fill>
      <patternFill patternType="solid">
        <fgColor rgb="FFBB3354"/>
      </patternFill>
    </fill>
    <fill>
      <patternFill patternType="solid">
        <fgColor rgb="FF0086C0"/>
      </patternFill>
    </fill>
    <fill>
      <patternFill patternType="solid">
        <fgColor rgb="FF66CCFF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FF642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5" fillId="11" borderId="1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165" fontId="5" fillId="15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1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7" fillId="11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6" fontId="5" fillId="8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166" fontId="5" fillId="11" borderId="1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166" fontId="5" fillId="13" borderId="1" xfId="0" applyNumberFormat="1" applyFont="1" applyFill="1" applyBorder="1" applyAlignment="1">
      <alignment horizontal="center" vertical="center"/>
    </xf>
    <xf numFmtId="166" fontId="5" fillId="14" borderId="1" xfId="0" applyNumberFormat="1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166" fontId="16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165" fontId="14" fillId="16" borderId="6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5" fontId="14" fillId="16" borderId="8" xfId="0" applyNumberFormat="1" applyFont="1" applyFill="1" applyBorder="1" applyAlignment="1">
      <alignment horizontal="center" vertical="center"/>
    </xf>
    <xf numFmtId="165" fontId="14" fillId="16" borderId="9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165" fontId="5" fillId="17" borderId="1" xfId="0" applyNumberFormat="1" applyFont="1" applyFill="1" applyBorder="1" applyAlignment="1">
      <alignment horizontal="center" vertical="center"/>
    </xf>
    <xf numFmtId="166" fontId="5" fillId="17" borderId="1" xfId="0" applyNumberFormat="1" applyFont="1" applyFill="1" applyBorder="1" applyAlignment="1">
      <alignment horizontal="center" vertical="center"/>
    </xf>
    <xf numFmtId="165" fontId="14" fillId="17" borderId="1" xfId="0" applyNumberFormat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vertical="center" wrapText="1"/>
    </xf>
    <xf numFmtId="165" fontId="4" fillId="18" borderId="1" xfId="0" applyNumberFormat="1" applyFont="1" applyFill="1" applyBorder="1" applyAlignment="1">
      <alignment horizontal="center" vertical="center"/>
    </xf>
    <xf numFmtId="166" fontId="4" fillId="18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6" fillId="18" borderId="0" xfId="0" applyFont="1" applyFill="1" applyAlignment="1">
      <alignment vertical="center"/>
    </xf>
    <xf numFmtId="165" fontId="16" fillId="18" borderId="1" xfId="0" applyNumberFormat="1" applyFont="1" applyFill="1" applyBorder="1" applyAlignment="1">
      <alignment horizontal="center" vertical="center"/>
    </xf>
    <xf numFmtId="166" fontId="16" fillId="18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7C4-5FA3-4049-8F81-2C06CF02854E}">
  <dimension ref="A1:E15"/>
  <sheetViews>
    <sheetView showGridLines="0" tabSelected="1" topLeftCell="A2" zoomScale="115" zoomScaleNormal="115" workbookViewId="0">
      <selection activeCell="C13" sqref="C13"/>
    </sheetView>
  </sheetViews>
  <sheetFormatPr defaultColWidth="8.875" defaultRowHeight="12.75"/>
  <cols>
    <col min="1" max="1" width="8.875" style="1"/>
    <col min="2" max="2" width="71.125" style="1" bestFit="1" customWidth="1"/>
    <col min="3" max="3" width="24.875" style="1" customWidth="1"/>
    <col min="4" max="5" width="34" style="1" bestFit="1" customWidth="1"/>
    <col min="6" max="16384" width="8.875" style="1"/>
  </cols>
  <sheetData>
    <row r="1" spans="1:5">
      <c r="A1" s="1" t="s">
        <v>37</v>
      </c>
    </row>
    <row r="2" spans="1:5">
      <c r="A2" s="1" t="s">
        <v>38</v>
      </c>
    </row>
    <row r="3" spans="1:5" ht="13.5" thickBot="1"/>
    <row r="4" spans="1:5">
      <c r="A4" s="58" t="s">
        <v>56</v>
      </c>
      <c r="B4" s="59" t="s">
        <v>57</v>
      </c>
      <c r="C4" s="59" t="s">
        <v>60</v>
      </c>
      <c r="D4" s="60" t="s">
        <v>3</v>
      </c>
      <c r="E4" s="60" t="s">
        <v>104</v>
      </c>
    </row>
    <row r="5" spans="1:5">
      <c r="A5" s="61" t="s">
        <v>39</v>
      </c>
      <c r="B5" s="2" t="s">
        <v>40</v>
      </c>
      <c r="C5" s="23">
        <v>46113</v>
      </c>
      <c r="D5" s="62" t="s">
        <v>67</v>
      </c>
      <c r="E5" s="62" t="s">
        <v>105</v>
      </c>
    </row>
    <row r="6" spans="1:5">
      <c r="A6" s="61" t="s">
        <v>41</v>
      </c>
      <c r="B6" s="2" t="s">
        <v>42</v>
      </c>
      <c r="C6" s="24"/>
      <c r="D6" s="63"/>
      <c r="E6" s="63"/>
    </row>
    <row r="7" spans="1:5" ht="25.5">
      <c r="A7" s="61" t="s">
        <v>43</v>
      </c>
      <c r="B7" s="2" t="s">
        <v>44</v>
      </c>
      <c r="C7" s="23">
        <f>$C$5+15</f>
        <v>46128</v>
      </c>
      <c r="D7" s="64" t="s">
        <v>66</v>
      </c>
      <c r="E7" s="64" t="s">
        <v>105</v>
      </c>
    </row>
    <row r="8" spans="1:5">
      <c r="A8" s="61" t="s">
        <v>45</v>
      </c>
      <c r="B8" s="2" t="s">
        <v>46</v>
      </c>
      <c r="C8" s="24"/>
      <c r="D8" s="63"/>
      <c r="E8" s="63"/>
    </row>
    <row r="9" spans="1:5">
      <c r="A9" s="61" t="s">
        <v>173</v>
      </c>
      <c r="B9" s="2" t="s">
        <v>174</v>
      </c>
      <c r="C9" s="87"/>
      <c r="D9" s="62" t="s">
        <v>175</v>
      </c>
      <c r="E9" s="62" t="s">
        <v>107</v>
      </c>
    </row>
    <row r="10" spans="1:5">
      <c r="A10" s="61" t="s">
        <v>47</v>
      </c>
      <c r="B10" s="2" t="s">
        <v>61</v>
      </c>
      <c r="C10" s="23">
        <v>46130</v>
      </c>
      <c r="D10" s="62" t="s">
        <v>68</v>
      </c>
      <c r="E10" s="62" t="s">
        <v>107</v>
      </c>
    </row>
    <row r="11" spans="1:5">
      <c r="A11" s="61" t="s">
        <v>48</v>
      </c>
      <c r="B11" s="2" t="s">
        <v>49</v>
      </c>
      <c r="C11" s="24"/>
      <c r="D11" s="63"/>
      <c r="E11" s="63"/>
    </row>
    <row r="12" spans="1:5">
      <c r="A12" s="61" t="s">
        <v>50</v>
      </c>
      <c r="B12" s="2" t="s">
        <v>51</v>
      </c>
      <c r="C12" s="23">
        <v>46147</v>
      </c>
      <c r="D12" s="62" t="s">
        <v>69</v>
      </c>
      <c r="E12" s="62" t="s">
        <v>106</v>
      </c>
    </row>
    <row r="13" spans="1:5">
      <c r="A13" s="61" t="s">
        <v>72</v>
      </c>
      <c r="B13" s="2" t="s">
        <v>73</v>
      </c>
      <c r="C13" s="23">
        <v>46157</v>
      </c>
      <c r="D13" s="62" t="s">
        <v>74</v>
      </c>
      <c r="E13" s="62" t="s">
        <v>106</v>
      </c>
    </row>
    <row r="14" spans="1:5">
      <c r="A14" s="61" t="s">
        <v>52</v>
      </c>
      <c r="B14" s="2" t="s">
        <v>53</v>
      </c>
      <c r="C14" s="24"/>
      <c r="D14" s="63"/>
      <c r="E14" s="63"/>
    </row>
    <row r="15" spans="1:5" ht="13.5" thickBot="1">
      <c r="A15" s="65" t="s">
        <v>54</v>
      </c>
      <c r="B15" s="66" t="s">
        <v>55</v>
      </c>
      <c r="C15" s="67"/>
      <c r="D15" s="68"/>
      <c r="E15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B6AB-E0A4-4013-A3CB-1C8214A3B081}">
  <dimension ref="A1:K126"/>
  <sheetViews>
    <sheetView showGridLines="0" showOutlineSymbols="0" showWhiteSpace="0" zoomScale="85" zoomScaleNormal="85" workbookViewId="0">
      <selection activeCell="A3" sqref="A3"/>
    </sheetView>
  </sheetViews>
  <sheetFormatPr defaultColWidth="8.875" defaultRowHeight="14.25"/>
  <cols>
    <col min="1" max="1" width="83.25" style="72" customWidth="1"/>
    <col min="2" max="2" width="26.875" style="8" bestFit="1" customWidth="1"/>
    <col min="3" max="3" width="17.375" style="40" bestFit="1" customWidth="1"/>
    <col min="4" max="4" width="17.375" style="40" customWidth="1"/>
    <col min="5" max="5" width="58.125" style="26" bestFit="1" customWidth="1"/>
    <col min="6" max="6" width="13.125" style="3" bestFit="1" customWidth="1"/>
    <col min="7" max="7" width="18.125" style="3" bestFit="1" customWidth="1"/>
    <col min="8" max="8" width="21.375" style="3" bestFit="1" customWidth="1"/>
    <col min="9" max="16384" width="8.875" style="3"/>
  </cols>
  <sheetData>
    <row r="1" spans="1:8" ht="39.950000000000003" customHeight="1">
      <c r="A1" s="71" t="s">
        <v>58</v>
      </c>
    </row>
    <row r="2" spans="1:8" ht="20.100000000000001" customHeight="1">
      <c r="A2" s="72" t="s">
        <v>0</v>
      </c>
      <c r="B2" s="8" t="s">
        <v>0</v>
      </c>
      <c r="C2" s="40" t="s">
        <v>0</v>
      </c>
      <c r="E2" s="26" t="s">
        <v>0</v>
      </c>
      <c r="F2" s="3" t="s">
        <v>0</v>
      </c>
      <c r="G2" s="3" t="s">
        <v>0</v>
      </c>
    </row>
    <row r="3" spans="1:8" ht="20.100000000000001" customHeight="1">
      <c r="A3" s="73" t="s">
        <v>1</v>
      </c>
    </row>
    <row r="4" spans="1:8" ht="20.100000000000001" customHeight="1">
      <c r="A4" s="74" t="s">
        <v>2</v>
      </c>
      <c r="B4" s="9" t="s">
        <v>59</v>
      </c>
      <c r="C4" s="41" t="s">
        <v>59</v>
      </c>
      <c r="D4" s="41" t="s">
        <v>104</v>
      </c>
      <c r="E4" s="4" t="s">
        <v>3</v>
      </c>
      <c r="F4" s="4" t="s">
        <v>4</v>
      </c>
      <c r="G4" s="4" t="s">
        <v>5</v>
      </c>
      <c r="H4" s="4" t="s">
        <v>6</v>
      </c>
    </row>
    <row r="5" spans="1:8">
      <c r="A5" s="70" t="s">
        <v>7</v>
      </c>
      <c r="B5" s="10" t="s">
        <v>82</v>
      </c>
      <c r="C5" s="42">
        <f>Legend!$C$5+1</f>
        <v>46114</v>
      </c>
      <c r="D5" s="42" t="s">
        <v>105</v>
      </c>
      <c r="E5" s="5" t="s">
        <v>163</v>
      </c>
      <c r="F5" s="5" t="s">
        <v>0</v>
      </c>
      <c r="G5" s="6" t="s">
        <v>0</v>
      </c>
      <c r="H5" s="6" t="s">
        <v>0</v>
      </c>
    </row>
    <row r="6" spans="1:8">
      <c r="A6" s="70" t="s">
        <v>165</v>
      </c>
      <c r="B6" s="10" t="s">
        <v>164</v>
      </c>
      <c r="C6" s="42">
        <f>Legend!$C$5+2</f>
        <v>46115</v>
      </c>
      <c r="D6" s="42" t="s">
        <v>105</v>
      </c>
      <c r="E6" s="5" t="s">
        <v>166</v>
      </c>
      <c r="F6" s="5" t="s">
        <v>0</v>
      </c>
      <c r="G6" s="6" t="s">
        <v>0</v>
      </c>
      <c r="H6" s="6" t="s">
        <v>0</v>
      </c>
    </row>
    <row r="7" spans="1:8">
      <c r="A7" s="70" t="s">
        <v>167</v>
      </c>
      <c r="B7" s="11" t="s">
        <v>83</v>
      </c>
      <c r="C7" s="43">
        <f>Legend!$C$5+7</f>
        <v>46120</v>
      </c>
      <c r="D7" s="43" t="s">
        <v>105</v>
      </c>
      <c r="E7" s="5"/>
      <c r="F7" s="5" t="s">
        <v>0</v>
      </c>
      <c r="G7" s="6" t="s">
        <v>0</v>
      </c>
      <c r="H7" s="6" t="s">
        <v>0</v>
      </c>
    </row>
    <row r="8" spans="1:8">
      <c r="A8" s="70" t="s">
        <v>108</v>
      </c>
      <c r="B8" s="11" t="s">
        <v>168</v>
      </c>
      <c r="C8" s="43">
        <f>Legend!$C$5+9</f>
        <v>46122</v>
      </c>
      <c r="D8" s="43" t="s">
        <v>105</v>
      </c>
      <c r="E8" s="5" t="s">
        <v>169</v>
      </c>
      <c r="F8" s="5" t="s">
        <v>0</v>
      </c>
      <c r="G8" s="6" t="s">
        <v>0</v>
      </c>
      <c r="H8" s="6" t="s">
        <v>0</v>
      </c>
    </row>
    <row r="9" spans="1:8">
      <c r="A9" s="70" t="s">
        <v>170</v>
      </c>
      <c r="B9" s="12" t="s">
        <v>86</v>
      </c>
      <c r="C9" s="44">
        <f>Legend!$C$7</f>
        <v>46128</v>
      </c>
      <c r="D9" s="44" t="s">
        <v>105</v>
      </c>
      <c r="E9" s="5" t="s">
        <v>171</v>
      </c>
      <c r="F9" s="5" t="s">
        <v>0</v>
      </c>
      <c r="G9" s="6" t="s">
        <v>0</v>
      </c>
      <c r="H9" s="6" t="s">
        <v>0</v>
      </c>
    </row>
    <row r="10" spans="1:8">
      <c r="A10" s="70" t="s">
        <v>109</v>
      </c>
      <c r="B10" s="12" t="s">
        <v>86</v>
      </c>
      <c r="C10" s="44">
        <f>Legend!$C$7</f>
        <v>46128</v>
      </c>
      <c r="D10" s="44" t="s">
        <v>105</v>
      </c>
      <c r="E10" s="5" t="s">
        <v>62</v>
      </c>
      <c r="F10" s="5" t="s">
        <v>0</v>
      </c>
      <c r="G10" s="6" t="s">
        <v>0</v>
      </c>
      <c r="H10" s="6" t="s">
        <v>0</v>
      </c>
    </row>
    <row r="11" spans="1:8">
      <c r="A11" s="70" t="s">
        <v>110</v>
      </c>
      <c r="B11" s="13" t="s">
        <v>172</v>
      </c>
      <c r="C11" s="45">
        <f>Legend!$C$7+10</f>
        <v>46138</v>
      </c>
      <c r="D11" s="45" t="s">
        <v>105</v>
      </c>
      <c r="E11" s="5" t="s">
        <v>111</v>
      </c>
      <c r="F11" s="5" t="s">
        <v>0</v>
      </c>
      <c r="G11" s="6" t="s">
        <v>0</v>
      </c>
      <c r="H11" s="6" t="s">
        <v>0</v>
      </c>
    </row>
    <row r="12" spans="1:8" ht="15">
      <c r="G12" s="33"/>
      <c r="H12" s="33"/>
    </row>
    <row r="13" spans="1:8" ht="18">
      <c r="A13" s="75" t="s">
        <v>112</v>
      </c>
    </row>
    <row r="14" spans="1:8" ht="20.100000000000001" customHeight="1">
      <c r="A14" s="74" t="s">
        <v>2</v>
      </c>
      <c r="B14" s="9" t="s">
        <v>59</v>
      </c>
      <c r="C14" s="41" t="s">
        <v>59</v>
      </c>
      <c r="D14" s="41" t="s">
        <v>104</v>
      </c>
      <c r="E14" s="4" t="s">
        <v>3</v>
      </c>
      <c r="F14" s="4" t="s">
        <v>4</v>
      </c>
      <c r="G14" s="4" t="s">
        <v>5</v>
      </c>
      <c r="H14" s="4" t="s">
        <v>6</v>
      </c>
    </row>
    <row r="15" spans="1:8">
      <c r="A15" s="70" t="s">
        <v>113</v>
      </c>
      <c r="B15" s="85" t="s">
        <v>183</v>
      </c>
      <c r="C15" s="86">
        <f>Legend!$C$9+1</f>
        <v>1</v>
      </c>
      <c r="D15" s="86" t="s">
        <v>107</v>
      </c>
      <c r="E15" s="5" t="s">
        <v>115</v>
      </c>
      <c r="F15" s="5" t="s">
        <v>0</v>
      </c>
      <c r="G15" s="6" t="s">
        <v>0</v>
      </c>
      <c r="H15" s="6" t="s">
        <v>0</v>
      </c>
    </row>
    <row r="16" spans="1:8">
      <c r="A16" s="70" t="s">
        <v>114</v>
      </c>
      <c r="B16" s="15" t="s">
        <v>176</v>
      </c>
      <c r="C16" s="47">
        <f>Legend!$C$12-76</f>
        <v>46071</v>
      </c>
      <c r="D16" s="47" t="s">
        <v>107</v>
      </c>
      <c r="E16" s="5" t="s">
        <v>115</v>
      </c>
      <c r="F16" s="5" t="s">
        <v>0</v>
      </c>
      <c r="G16" s="6" t="s">
        <v>0</v>
      </c>
      <c r="H16" s="6" t="s">
        <v>0</v>
      </c>
    </row>
    <row r="18" spans="1:8" ht="20.100000000000001" customHeight="1">
      <c r="A18" s="75" t="s">
        <v>9</v>
      </c>
    </row>
    <row r="19" spans="1:8" ht="20.100000000000001" customHeight="1">
      <c r="A19" s="74" t="s">
        <v>2</v>
      </c>
      <c r="B19" s="9" t="s">
        <v>59</v>
      </c>
      <c r="C19" s="41" t="s">
        <v>59</v>
      </c>
      <c r="D19" s="41" t="s">
        <v>104</v>
      </c>
      <c r="E19" s="4" t="s">
        <v>3</v>
      </c>
      <c r="F19" s="4" t="s">
        <v>4</v>
      </c>
      <c r="G19" s="4" t="s">
        <v>5</v>
      </c>
      <c r="H19" s="4" t="s">
        <v>6</v>
      </c>
    </row>
    <row r="20" spans="1:8" ht="20.100000000000001" customHeight="1">
      <c r="A20" s="70" t="s">
        <v>116</v>
      </c>
      <c r="B20" s="15" t="s">
        <v>176</v>
      </c>
      <c r="C20" s="47">
        <f>Legend!$C$12-76</f>
        <v>46071</v>
      </c>
      <c r="D20" s="47" t="s">
        <v>107</v>
      </c>
      <c r="E20" s="5" t="s">
        <v>117</v>
      </c>
      <c r="F20" s="5" t="s">
        <v>0</v>
      </c>
      <c r="G20" s="6" t="s">
        <v>0</v>
      </c>
      <c r="H20" s="6" t="s">
        <v>0</v>
      </c>
    </row>
    <row r="21" spans="1:8" ht="20.100000000000001" customHeight="1">
      <c r="A21" s="70" t="s">
        <v>118</v>
      </c>
      <c r="B21" s="16" t="s">
        <v>85</v>
      </c>
      <c r="C21" s="48">
        <f>Legend!$C$10+3</f>
        <v>46133</v>
      </c>
      <c r="D21" s="48" t="s">
        <v>107</v>
      </c>
      <c r="E21" s="5" t="s">
        <v>119</v>
      </c>
      <c r="F21" s="5" t="s">
        <v>0</v>
      </c>
      <c r="G21" s="6" t="s">
        <v>0</v>
      </c>
      <c r="H21" s="6" t="s">
        <v>0</v>
      </c>
    </row>
    <row r="22" spans="1:8" ht="20.100000000000001" customHeight="1">
      <c r="A22" s="70" t="s">
        <v>120</v>
      </c>
      <c r="B22" s="16" t="s">
        <v>85</v>
      </c>
      <c r="C22" s="48">
        <f>Legend!$C$10+3</f>
        <v>46133</v>
      </c>
      <c r="D22" s="48" t="s">
        <v>107</v>
      </c>
      <c r="E22" s="5" t="s">
        <v>84</v>
      </c>
      <c r="F22" s="5"/>
      <c r="G22" s="6"/>
      <c r="H22" s="6"/>
    </row>
    <row r="23" spans="1:8" ht="20.100000000000001" customHeight="1">
      <c r="A23" s="70" t="s">
        <v>150</v>
      </c>
      <c r="B23" s="16" t="s">
        <v>91</v>
      </c>
      <c r="C23" s="48">
        <f>Legend!$C$10+7</f>
        <v>46137</v>
      </c>
      <c r="D23" s="48" t="s">
        <v>107</v>
      </c>
      <c r="E23" s="5" t="s">
        <v>121</v>
      </c>
      <c r="F23" s="5" t="s">
        <v>0</v>
      </c>
      <c r="G23" s="6" t="s">
        <v>0</v>
      </c>
      <c r="H23" s="6" t="s">
        <v>0</v>
      </c>
    </row>
    <row r="24" spans="1:8" ht="20.100000000000001" customHeight="1">
      <c r="A24" s="70" t="s">
        <v>124</v>
      </c>
      <c r="B24" s="17" t="s">
        <v>178</v>
      </c>
      <c r="C24" s="49">
        <f>Legend!$C$12-32</f>
        <v>46115</v>
      </c>
      <c r="D24" s="49" t="s">
        <v>107</v>
      </c>
      <c r="E24" s="5" t="s">
        <v>0</v>
      </c>
      <c r="F24" s="5" t="s">
        <v>0</v>
      </c>
      <c r="G24" s="6" t="s">
        <v>0</v>
      </c>
      <c r="H24" s="6" t="s">
        <v>0</v>
      </c>
    </row>
    <row r="25" spans="1:8" ht="28.5">
      <c r="A25" s="70" t="s">
        <v>134</v>
      </c>
      <c r="B25" s="17" t="s">
        <v>178</v>
      </c>
      <c r="C25" s="49">
        <f>Legend!$C$12-32</f>
        <v>46115</v>
      </c>
      <c r="D25" s="49" t="s">
        <v>107</v>
      </c>
      <c r="E25" s="25" t="s">
        <v>135</v>
      </c>
      <c r="F25" s="5"/>
      <c r="G25" s="6"/>
      <c r="H25" s="6"/>
    </row>
    <row r="26" spans="1:8" s="30" customFormat="1" ht="20.100000000000001" customHeight="1">
      <c r="A26" s="69" t="s">
        <v>125</v>
      </c>
      <c r="B26" s="17" t="s">
        <v>177</v>
      </c>
      <c r="C26" s="49">
        <f>Legend!$C$12-22</f>
        <v>46125</v>
      </c>
      <c r="D26" s="49" t="s">
        <v>107</v>
      </c>
      <c r="E26" s="35"/>
      <c r="F26" s="27"/>
      <c r="G26" s="29"/>
      <c r="H26" s="29"/>
    </row>
    <row r="27" spans="1:8" s="30" customFormat="1" ht="20.100000000000001" customHeight="1">
      <c r="A27" s="70" t="s">
        <v>123</v>
      </c>
      <c r="B27" s="17" t="s">
        <v>177</v>
      </c>
      <c r="C27" s="49">
        <f>Legend!$C$12-22</f>
        <v>46125</v>
      </c>
      <c r="D27" s="49" t="s">
        <v>107</v>
      </c>
      <c r="E27" s="5" t="s">
        <v>122</v>
      </c>
      <c r="F27" s="27"/>
      <c r="G27" s="29"/>
      <c r="H27" s="29"/>
    </row>
    <row r="28" spans="1:8" ht="20.100000000000001" customHeight="1">
      <c r="A28" s="70" t="s">
        <v>126</v>
      </c>
      <c r="B28" s="17" t="s">
        <v>177</v>
      </c>
      <c r="C28" s="49">
        <f>Legend!$C$12-22</f>
        <v>46125</v>
      </c>
      <c r="D28" s="49" t="s">
        <v>107</v>
      </c>
      <c r="E28" s="5" t="s">
        <v>127</v>
      </c>
      <c r="F28" s="5" t="s">
        <v>0</v>
      </c>
      <c r="G28" s="6" t="s">
        <v>0</v>
      </c>
      <c r="H28" s="6" t="s">
        <v>0</v>
      </c>
    </row>
    <row r="29" spans="1:8" ht="20.100000000000001" customHeight="1">
      <c r="A29" s="70" t="s">
        <v>10</v>
      </c>
      <c r="B29" s="18" t="s">
        <v>179</v>
      </c>
      <c r="C29" s="50">
        <f>Legend!$C$12-10</f>
        <v>46137</v>
      </c>
      <c r="D29" s="50" t="s">
        <v>106</v>
      </c>
      <c r="E29" s="5" t="s">
        <v>128</v>
      </c>
      <c r="F29" s="5" t="s">
        <v>0</v>
      </c>
      <c r="G29" s="6" t="s">
        <v>0</v>
      </c>
      <c r="H29" s="6" t="s">
        <v>0</v>
      </c>
    </row>
    <row r="30" spans="1:8" ht="20.100000000000001" customHeight="1">
      <c r="A30" s="70" t="s">
        <v>11</v>
      </c>
      <c r="B30" s="19" t="s">
        <v>180</v>
      </c>
      <c r="C30" s="51">
        <f>Legend!$C$12-5</f>
        <v>46142</v>
      </c>
      <c r="D30" s="51" t="s">
        <v>106</v>
      </c>
      <c r="E30" s="5" t="s">
        <v>0</v>
      </c>
      <c r="F30" s="5" t="s">
        <v>0</v>
      </c>
      <c r="G30" s="6" t="s">
        <v>0</v>
      </c>
      <c r="H30" s="6" t="s">
        <v>0</v>
      </c>
    </row>
    <row r="31" spans="1:8" ht="20.100000000000001" customHeight="1">
      <c r="A31" s="70" t="s">
        <v>12</v>
      </c>
      <c r="B31" s="19" t="s">
        <v>180</v>
      </c>
      <c r="C31" s="51">
        <f>Legend!$C$12-5</f>
        <v>46142</v>
      </c>
      <c r="D31" s="51" t="s">
        <v>106</v>
      </c>
      <c r="E31" s="5" t="s">
        <v>0</v>
      </c>
      <c r="F31" s="5" t="s">
        <v>0</v>
      </c>
      <c r="G31" s="6" t="s">
        <v>0</v>
      </c>
      <c r="H31" s="6" t="s">
        <v>0</v>
      </c>
    </row>
    <row r="32" spans="1:8" ht="20.100000000000001" customHeight="1">
      <c r="A32" s="70" t="s">
        <v>129</v>
      </c>
      <c r="B32" s="21" t="s">
        <v>182</v>
      </c>
      <c r="C32" s="53">
        <f>Legend!$C$13+10</f>
        <v>46167</v>
      </c>
      <c r="D32" s="53" t="s">
        <v>106</v>
      </c>
      <c r="E32" s="5" t="s">
        <v>70</v>
      </c>
      <c r="F32" s="5" t="s">
        <v>0</v>
      </c>
      <c r="G32" s="6" t="s">
        <v>0</v>
      </c>
      <c r="H32" s="6" t="s">
        <v>0</v>
      </c>
    </row>
    <row r="33" spans="1:11" ht="28.5">
      <c r="A33" s="70" t="s">
        <v>13</v>
      </c>
      <c r="B33" s="21" t="s">
        <v>181</v>
      </c>
      <c r="C33" s="53">
        <f>Legend!$C$13+5</f>
        <v>46162</v>
      </c>
      <c r="D33" s="53" t="s">
        <v>106</v>
      </c>
      <c r="E33" s="25" t="s">
        <v>71</v>
      </c>
      <c r="F33" s="5" t="s">
        <v>0</v>
      </c>
      <c r="G33" s="6" t="s">
        <v>0</v>
      </c>
      <c r="H33" s="6" t="s">
        <v>0</v>
      </c>
    </row>
    <row r="34" spans="1:11" ht="20.100000000000001" customHeight="1">
      <c r="A34" s="69" t="s">
        <v>0</v>
      </c>
      <c r="B34" s="14" t="s">
        <v>0</v>
      </c>
      <c r="C34" s="46" t="s">
        <v>0</v>
      </c>
      <c r="D34" s="46"/>
      <c r="E34" s="5" t="s">
        <v>0</v>
      </c>
      <c r="F34" s="7" t="s">
        <v>0</v>
      </c>
      <c r="G34" s="32"/>
      <c r="H34" s="32"/>
    </row>
    <row r="35" spans="1:11" ht="20.100000000000001" customHeight="1">
      <c r="G35" s="33"/>
      <c r="H35" s="33"/>
    </row>
    <row r="36" spans="1:11" ht="20.100000000000001" customHeight="1">
      <c r="A36" s="73" t="s">
        <v>87</v>
      </c>
    </row>
    <row r="37" spans="1:11" ht="20.100000000000001" customHeight="1">
      <c r="A37" s="74" t="s">
        <v>2</v>
      </c>
      <c r="B37" s="9" t="s">
        <v>59</v>
      </c>
      <c r="C37" s="41" t="s">
        <v>59</v>
      </c>
      <c r="D37" s="41" t="s">
        <v>104</v>
      </c>
      <c r="E37" s="4" t="s">
        <v>3</v>
      </c>
      <c r="F37" s="4" t="s">
        <v>4</v>
      </c>
      <c r="G37" s="4" t="s">
        <v>5</v>
      </c>
      <c r="H37" s="4" t="s">
        <v>6</v>
      </c>
    </row>
    <row r="38" spans="1:11" ht="20.100000000000001" customHeight="1">
      <c r="A38" s="31" t="s">
        <v>88</v>
      </c>
      <c r="B38" s="17" t="s">
        <v>177</v>
      </c>
      <c r="C38" s="49">
        <f>Legend!$C$12-22</f>
        <v>46125</v>
      </c>
      <c r="D38" s="49" t="s">
        <v>107</v>
      </c>
      <c r="E38" s="39" t="s">
        <v>89</v>
      </c>
      <c r="F38" s="27" t="s">
        <v>0</v>
      </c>
      <c r="G38" s="29" t="s">
        <v>0</v>
      </c>
      <c r="H38" s="29" t="s">
        <v>0</v>
      </c>
      <c r="I38" s="30"/>
      <c r="J38" s="30"/>
      <c r="K38" s="30"/>
    </row>
    <row r="39" spans="1:11" ht="20.100000000000001" customHeight="1">
      <c r="A39" s="69" t="s">
        <v>131</v>
      </c>
      <c r="B39" s="17" t="s">
        <v>177</v>
      </c>
      <c r="C39" s="49">
        <f>Legend!$C$12-22</f>
        <v>46125</v>
      </c>
      <c r="D39" s="49" t="s">
        <v>107</v>
      </c>
      <c r="E39" s="25" t="s">
        <v>130</v>
      </c>
      <c r="F39" s="5" t="s">
        <v>0</v>
      </c>
      <c r="G39" s="6" t="s">
        <v>0</v>
      </c>
      <c r="H39" s="6" t="s">
        <v>0</v>
      </c>
      <c r="I39" s="30"/>
      <c r="J39" s="30"/>
      <c r="K39" s="30"/>
    </row>
    <row r="40" spans="1:11" ht="20.100000000000001" customHeight="1">
      <c r="F40" s="32"/>
      <c r="G40" s="32"/>
    </row>
    <row r="41" spans="1:11" ht="20.100000000000001" customHeight="1">
      <c r="G41" s="33"/>
      <c r="H41" s="33"/>
    </row>
    <row r="42" spans="1:11" customFormat="1" ht="18">
      <c r="A42" s="73" t="s">
        <v>94</v>
      </c>
      <c r="B42" s="8"/>
      <c r="C42" s="40"/>
      <c r="D42" s="40"/>
      <c r="E42" s="26"/>
      <c r="F42" s="3"/>
      <c r="G42" s="3"/>
      <c r="H42" s="3"/>
    </row>
    <row r="43" spans="1:11" customFormat="1" ht="15">
      <c r="A43" s="74" t="s">
        <v>2</v>
      </c>
      <c r="B43" s="9" t="s">
        <v>59</v>
      </c>
      <c r="C43" s="41" t="s">
        <v>59</v>
      </c>
      <c r="D43" s="41" t="s">
        <v>104</v>
      </c>
      <c r="E43" s="4" t="s">
        <v>3</v>
      </c>
      <c r="F43" s="4" t="s">
        <v>4</v>
      </c>
      <c r="G43" s="4" t="s">
        <v>5</v>
      </c>
      <c r="H43" s="4" t="s">
        <v>6</v>
      </c>
    </row>
    <row r="44" spans="1:11" ht="20.100000000000001" customHeight="1">
      <c r="A44" s="31" t="s">
        <v>132</v>
      </c>
      <c r="B44" s="34" t="s">
        <v>180</v>
      </c>
      <c r="C44" s="54">
        <f>Legend!$C$12-5</f>
        <v>46142</v>
      </c>
      <c r="D44" s="54" t="s">
        <v>107</v>
      </c>
      <c r="E44" s="39" t="s">
        <v>133</v>
      </c>
      <c r="F44" s="27" t="s">
        <v>0</v>
      </c>
      <c r="G44" s="29" t="s">
        <v>0</v>
      </c>
      <c r="H44" s="29" t="s">
        <v>0</v>
      </c>
      <c r="I44" s="30"/>
      <c r="J44" s="30"/>
      <c r="K44" s="30"/>
    </row>
    <row r="45" spans="1:11" ht="20.100000000000001" customHeight="1">
      <c r="G45" s="33"/>
      <c r="H45" s="33"/>
    </row>
    <row r="46" spans="1:11" ht="20.100000000000001" customHeight="1">
      <c r="A46" s="76" t="s">
        <v>14</v>
      </c>
    </row>
    <row r="47" spans="1:11" ht="20.100000000000001" customHeight="1">
      <c r="A47" s="74" t="s">
        <v>2</v>
      </c>
      <c r="B47" s="9" t="s">
        <v>59</v>
      </c>
      <c r="C47" s="41" t="s">
        <v>59</v>
      </c>
      <c r="D47" s="41" t="s">
        <v>104</v>
      </c>
      <c r="E47" s="4" t="s">
        <v>3</v>
      </c>
      <c r="F47" s="4" t="s">
        <v>4</v>
      </c>
      <c r="G47" s="4" t="s">
        <v>5</v>
      </c>
      <c r="H47" s="4" t="s">
        <v>6</v>
      </c>
    </row>
    <row r="48" spans="1:11" ht="20.100000000000001" customHeight="1">
      <c r="A48" s="70" t="s">
        <v>136</v>
      </c>
      <c r="B48" s="85" t="s">
        <v>183</v>
      </c>
      <c r="C48" s="86">
        <f>Legend!$C$9+1</f>
        <v>1</v>
      </c>
      <c r="D48" s="86" t="s">
        <v>107</v>
      </c>
      <c r="E48" s="5" t="s">
        <v>137</v>
      </c>
      <c r="F48" s="5" t="s">
        <v>0</v>
      </c>
      <c r="G48" s="6" t="s">
        <v>0</v>
      </c>
      <c r="H48" s="6" t="s">
        <v>0</v>
      </c>
    </row>
    <row r="49" spans="1:8" ht="20.100000000000001" customHeight="1">
      <c r="A49" s="70" t="s">
        <v>15</v>
      </c>
      <c r="B49" s="85" t="s">
        <v>183</v>
      </c>
      <c r="C49" s="86">
        <f>Legend!$C$9+1</f>
        <v>1</v>
      </c>
      <c r="D49" s="86" t="s">
        <v>107</v>
      </c>
      <c r="E49" s="5" t="s">
        <v>0</v>
      </c>
      <c r="F49" s="5" t="s">
        <v>0</v>
      </c>
      <c r="G49" s="6" t="s">
        <v>0</v>
      </c>
      <c r="H49" s="6" t="s">
        <v>0</v>
      </c>
    </row>
    <row r="50" spans="1:8" ht="20.100000000000001" customHeight="1">
      <c r="A50" s="70" t="s">
        <v>190</v>
      </c>
      <c r="B50" s="22" t="s">
        <v>90</v>
      </c>
      <c r="C50" s="55">
        <f>Legend!$C$10+1</f>
        <v>46131</v>
      </c>
      <c r="D50" s="55" t="s">
        <v>107</v>
      </c>
      <c r="E50" s="5"/>
      <c r="F50" s="5"/>
      <c r="G50" s="6"/>
      <c r="H50" s="6"/>
    </row>
    <row r="51" spans="1:8" ht="20.100000000000001" customHeight="1">
      <c r="A51" s="70" t="s">
        <v>16</v>
      </c>
      <c r="B51" s="15" t="s">
        <v>184</v>
      </c>
      <c r="C51" s="47">
        <f>Legend!$C$12-66</f>
        <v>46081</v>
      </c>
      <c r="D51" s="47" t="s">
        <v>107</v>
      </c>
      <c r="E51" s="5" t="s">
        <v>8</v>
      </c>
      <c r="F51" s="5" t="s">
        <v>0</v>
      </c>
      <c r="G51" s="6" t="s">
        <v>0</v>
      </c>
      <c r="H51" s="6" t="s">
        <v>0</v>
      </c>
    </row>
    <row r="52" spans="1:8" ht="20.100000000000001" customHeight="1">
      <c r="A52" s="70" t="s">
        <v>138</v>
      </c>
      <c r="B52" s="18" t="s">
        <v>92</v>
      </c>
      <c r="C52" s="50">
        <f>Legend!$C$12-15</f>
        <v>46132</v>
      </c>
      <c r="D52" s="50" t="s">
        <v>106</v>
      </c>
      <c r="E52" s="5" t="s">
        <v>0</v>
      </c>
      <c r="F52" s="5" t="s">
        <v>0</v>
      </c>
      <c r="G52" s="6" t="s">
        <v>0</v>
      </c>
      <c r="H52" s="6" t="s">
        <v>0</v>
      </c>
    </row>
    <row r="53" spans="1:8" ht="39.950000000000003" customHeight="1"/>
    <row r="54" spans="1:8" ht="20.100000000000001" customHeight="1">
      <c r="A54" s="77" t="s">
        <v>17</v>
      </c>
    </row>
    <row r="55" spans="1:8" ht="20.100000000000001" customHeight="1">
      <c r="A55" s="74" t="s">
        <v>2</v>
      </c>
      <c r="B55" s="9" t="s">
        <v>59</v>
      </c>
      <c r="C55" s="41" t="s">
        <v>59</v>
      </c>
      <c r="D55" s="41" t="s">
        <v>104</v>
      </c>
      <c r="E55" s="4" t="s">
        <v>3</v>
      </c>
      <c r="F55" s="4" t="s">
        <v>4</v>
      </c>
      <c r="G55" s="4" t="s">
        <v>5</v>
      </c>
      <c r="H55" s="4" t="s">
        <v>6</v>
      </c>
    </row>
    <row r="56" spans="1:8" ht="20.100000000000001" customHeight="1">
      <c r="A56" s="70" t="s">
        <v>18</v>
      </c>
      <c r="B56" s="15" t="s">
        <v>185</v>
      </c>
      <c r="C56" s="47">
        <f>Legend!$C$12-44</f>
        <v>46103</v>
      </c>
      <c r="D56" s="47" t="s">
        <v>107</v>
      </c>
      <c r="E56" s="5" t="s">
        <v>8</v>
      </c>
      <c r="F56" s="5" t="s">
        <v>0</v>
      </c>
      <c r="G56" s="6" t="s">
        <v>0</v>
      </c>
      <c r="H56" s="6" t="s">
        <v>0</v>
      </c>
    </row>
    <row r="57" spans="1:8" ht="20.100000000000001" customHeight="1">
      <c r="A57" s="70" t="s">
        <v>19</v>
      </c>
      <c r="B57" s="15" t="s">
        <v>185</v>
      </c>
      <c r="C57" s="47">
        <f>Legend!$C$12-44</f>
        <v>46103</v>
      </c>
      <c r="D57" s="47" t="s">
        <v>107</v>
      </c>
      <c r="E57" s="5" t="s">
        <v>8</v>
      </c>
      <c r="F57" s="5" t="s">
        <v>0</v>
      </c>
      <c r="G57" s="6" t="s">
        <v>0</v>
      </c>
      <c r="H57" s="6" t="s">
        <v>0</v>
      </c>
    </row>
    <row r="58" spans="1:8" ht="20.100000000000001" customHeight="1">
      <c r="A58" s="70" t="s">
        <v>139</v>
      </c>
      <c r="B58" s="15" t="s">
        <v>186</v>
      </c>
      <c r="C58" s="47">
        <f>Legend!$C$12-39</f>
        <v>46108</v>
      </c>
      <c r="D58" s="47" t="s">
        <v>107</v>
      </c>
      <c r="E58" s="5" t="s">
        <v>8</v>
      </c>
      <c r="F58" s="5" t="s">
        <v>0</v>
      </c>
      <c r="G58" s="6" t="s">
        <v>0</v>
      </c>
      <c r="H58" s="6" t="s">
        <v>0</v>
      </c>
    </row>
    <row r="59" spans="1:8" ht="39.950000000000003" customHeight="1"/>
    <row r="60" spans="1:8" ht="20.100000000000001" customHeight="1">
      <c r="A60" s="78" t="s">
        <v>20</v>
      </c>
    </row>
    <row r="61" spans="1:8" ht="20.100000000000001" customHeight="1">
      <c r="A61" s="74" t="s">
        <v>2</v>
      </c>
      <c r="B61" s="9" t="s">
        <v>59</v>
      </c>
      <c r="C61" s="41" t="s">
        <v>59</v>
      </c>
      <c r="D61" s="41" t="s">
        <v>104</v>
      </c>
      <c r="E61" s="4" t="s">
        <v>3</v>
      </c>
      <c r="F61" s="4" t="s">
        <v>4</v>
      </c>
      <c r="G61" s="4" t="s">
        <v>5</v>
      </c>
      <c r="H61" s="4" t="s">
        <v>6</v>
      </c>
    </row>
    <row r="62" spans="1:8" ht="20.100000000000001" customHeight="1">
      <c r="A62" s="70" t="s">
        <v>140</v>
      </c>
      <c r="B62" s="85" t="s">
        <v>187</v>
      </c>
      <c r="C62" s="86">
        <f>Legend!$C$9+5</f>
        <v>5</v>
      </c>
      <c r="D62" s="86" t="s">
        <v>107</v>
      </c>
      <c r="E62" s="5" t="s">
        <v>0</v>
      </c>
      <c r="F62" s="5" t="s">
        <v>0</v>
      </c>
      <c r="G62" s="6" t="s">
        <v>0</v>
      </c>
      <c r="H62" s="6" t="s">
        <v>0</v>
      </c>
    </row>
    <row r="63" spans="1:8" ht="20.100000000000001" customHeight="1">
      <c r="A63" s="70" t="s">
        <v>141</v>
      </c>
      <c r="B63" s="17" t="s">
        <v>177</v>
      </c>
      <c r="C63" s="49">
        <f>Legend!$C$12-22</f>
        <v>46125</v>
      </c>
      <c r="D63" s="49" t="s">
        <v>107</v>
      </c>
      <c r="E63" s="5" t="s">
        <v>0</v>
      </c>
      <c r="F63" s="5" t="s">
        <v>0</v>
      </c>
      <c r="G63" s="6" t="s">
        <v>0</v>
      </c>
      <c r="H63" s="6" t="s">
        <v>0</v>
      </c>
    </row>
    <row r="64" spans="1:8" ht="20.100000000000001" customHeight="1">
      <c r="A64" s="70" t="s">
        <v>21</v>
      </c>
      <c r="B64" s="19" t="s">
        <v>179</v>
      </c>
      <c r="C64" s="51">
        <f>Legend!$C$12-10</f>
        <v>46137</v>
      </c>
      <c r="D64" s="51" t="s">
        <v>106</v>
      </c>
      <c r="E64" s="5" t="s">
        <v>8</v>
      </c>
      <c r="F64" s="5" t="s">
        <v>0</v>
      </c>
      <c r="G64" s="6" t="s">
        <v>0</v>
      </c>
      <c r="H64" s="6" t="s">
        <v>0</v>
      </c>
    </row>
    <row r="65" spans="1:8" ht="39.950000000000003" customHeight="1"/>
    <row r="66" spans="1:8" ht="20.100000000000001" customHeight="1">
      <c r="A66" s="79" t="s">
        <v>22</v>
      </c>
    </row>
    <row r="67" spans="1:8" ht="20.100000000000001" customHeight="1">
      <c r="A67" s="74" t="s">
        <v>2</v>
      </c>
      <c r="B67" s="9" t="s">
        <v>59</v>
      </c>
      <c r="C67" s="41" t="s">
        <v>59</v>
      </c>
      <c r="D67" s="41" t="s">
        <v>104</v>
      </c>
      <c r="E67" s="4" t="s">
        <v>3</v>
      </c>
      <c r="F67" s="4" t="s">
        <v>4</v>
      </c>
      <c r="G67" s="4" t="s">
        <v>5</v>
      </c>
      <c r="H67" s="4" t="s">
        <v>6</v>
      </c>
    </row>
    <row r="68" spans="1:8" ht="28.5">
      <c r="A68" s="70" t="s">
        <v>142</v>
      </c>
      <c r="B68" s="15" t="s">
        <v>185</v>
      </c>
      <c r="C68" s="47">
        <f>Legend!$C$12-44</f>
        <v>46103</v>
      </c>
      <c r="D68" s="47" t="s">
        <v>107</v>
      </c>
      <c r="E68" s="5" t="s">
        <v>0</v>
      </c>
      <c r="F68" s="5" t="s">
        <v>0</v>
      </c>
      <c r="G68" s="6" t="s">
        <v>0</v>
      </c>
      <c r="H68" s="6" t="s">
        <v>0</v>
      </c>
    </row>
    <row r="69" spans="1:8" ht="20.100000000000001" customHeight="1">
      <c r="A69" s="70" t="s">
        <v>143</v>
      </c>
      <c r="B69" s="15" t="s">
        <v>186</v>
      </c>
      <c r="C69" s="47">
        <f>Legend!$C$12-39</f>
        <v>46108</v>
      </c>
      <c r="D69" s="47" t="s">
        <v>107</v>
      </c>
      <c r="E69" s="5" t="s">
        <v>0</v>
      </c>
      <c r="F69" s="5" t="s">
        <v>0</v>
      </c>
      <c r="G69" s="6" t="s">
        <v>0</v>
      </c>
      <c r="H69" s="6" t="s">
        <v>0</v>
      </c>
    </row>
    <row r="70" spans="1:8" ht="20.100000000000001" customHeight="1">
      <c r="A70" s="70" t="s">
        <v>23</v>
      </c>
      <c r="B70" s="15" t="s">
        <v>177</v>
      </c>
      <c r="C70" s="47">
        <f>Legend!$C$12-22</f>
        <v>46125</v>
      </c>
      <c r="D70" s="47" t="s">
        <v>107</v>
      </c>
      <c r="E70" s="5" t="s">
        <v>8</v>
      </c>
      <c r="F70" s="5" t="s">
        <v>0</v>
      </c>
      <c r="G70" s="6" t="s">
        <v>0</v>
      </c>
      <c r="H70" s="6" t="s">
        <v>0</v>
      </c>
    </row>
    <row r="71" spans="1:8" ht="20.100000000000001" customHeight="1">
      <c r="A71" s="70" t="s">
        <v>144</v>
      </c>
      <c r="B71" s="18" t="s">
        <v>179</v>
      </c>
      <c r="C71" s="50">
        <f>Legend!$C$12-10</f>
        <v>46137</v>
      </c>
      <c r="D71" s="50" t="s">
        <v>106</v>
      </c>
      <c r="E71" s="5"/>
      <c r="F71" s="5" t="s">
        <v>0</v>
      </c>
      <c r="G71" s="6" t="s">
        <v>0</v>
      </c>
      <c r="H71" s="6" t="s">
        <v>0</v>
      </c>
    </row>
    <row r="72" spans="1:8" ht="39.950000000000003" customHeight="1"/>
    <row r="73" spans="1:8" ht="20.100000000000001" customHeight="1">
      <c r="A73" s="80" t="s">
        <v>24</v>
      </c>
    </row>
    <row r="74" spans="1:8" ht="20.100000000000001" customHeight="1">
      <c r="A74" s="74" t="s">
        <v>2</v>
      </c>
      <c r="B74" s="9" t="s">
        <v>59</v>
      </c>
      <c r="C74" s="41" t="s">
        <v>59</v>
      </c>
      <c r="D74" s="41" t="s">
        <v>104</v>
      </c>
      <c r="E74" s="4" t="s">
        <v>3</v>
      </c>
      <c r="F74" s="4" t="s">
        <v>4</v>
      </c>
      <c r="G74" s="4" t="s">
        <v>5</v>
      </c>
      <c r="H74" s="4" t="s">
        <v>6</v>
      </c>
    </row>
    <row r="75" spans="1:8" ht="28.5">
      <c r="A75" s="70" t="s">
        <v>145</v>
      </c>
      <c r="B75" s="15" t="s">
        <v>185</v>
      </c>
      <c r="C75" s="47">
        <f>Legend!$C$12-44</f>
        <v>46103</v>
      </c>
      <c r="D75" s="47" t="s">
        <v>107</v>
      </c>
      <c r="E75" s="5"/>
      <c r="F75" s="5"/>
      <c r="G75" s="6"/>
      <c r="H75" s="6"/>
    </row>
    <row r="76" spans="1:8" ht="20.100000000000001" customHeight="1">
      <c r="A76" s="70" t="s">
        <v>146</v>
      </c>
      <c r="B76" s="15" t="s">
        <v>177</v>
      </c>
      <c r="C76" s="47">
        <f>Legend!$C$12-22</f>
        <v>46125</v>
      </c>
      <c r="D76" s="47" t="s">
        <v>107</v>
      </c>
      <c r="E76" s="5" t="s">
        <v>0</v>
      </c>
      <c r="F76" s="5" t="s">
        <v>0</v>
      </c>
      <c r="G76" s="6" t="s">
        <v>0</v>
      </c>
      <c r="H76" s="6" t="s">
        <v>0</v>
      </c>
    </row>
    <row r="77" spans="1:8" ht="20.100000000000001" customHeight="1">
      <c r="A77" s="70" t="s">
        <v>147</v>
      </c>
      <c r="B77" s="15" t="s">
        <v>92</v>
      </c>
      <c r="C77" s="47">
        <f>Legend!$C$12-15</f>
        <v>46132</v>
      </c>
      <c r="D77" s="47" t="s">
        <v>107</v>
      </c>
      <c r="E77" s="5" t="s">
        <v>148</v>
      </c>
      <c r="F77" s="5" t="s">
        <v>0</v>
      </c>
      <c r="G77" s="6" t="s">
        <v>0</v>
      </c>
      <c r="H77" s="6" t="s">
        <v>0</v>
      </c>
    </row>
    <row r="78" spans="1:8" ht="20.100000000000001" customHeight="1">
      <c r="A78" s="70" t="s">
        <v>149</v>
      </c>
      <c r="B78" s="15" t="s">
        <v>179</v>
      </c>
      <c r="C78" s="47">
        <f>Legend!$C$12-10</f>
        <v>46137</v>
      </c>
      <c r="D78" s="47" t="s">
        <v>107</v>
      </c>
      <c r="E78" s="5" t="s">
        <v>25</v>
      </c>
      <c r="F78" s="5" t="s">
        <v>0</v>
      </c>
      <c r="G78" s="6" t="s">
        <v>0</v>
      </c>
      <c r="H78" s="6" t="s">
        <v>0</v>
      </c>
    </row>
    <row r="79" spans="1:8" ht="39.950000000000003" customHeight="1"/>
    <row r="80" spans="1:8" ht="20.100000000000001" customHeight="1">
      <c r="A80" s="81" t="s">
        <v>26</v>
      </c>
    </row>
    <row r="81" spans="1:8" ht="20.100000000000001" customHeight="1">
      <c r="A81" s="74" t="s">
        <v>2</v>
      </c>
      <c r="B81" s="9" t="s">
        <v>59</v>
      </c>
      <c r="C81" s="41" t="s">
        <v>59</v>
      </c>
      <c r="D81" s="41" t="s">
        <v>104</v>
      </c>
      <c r="E81" s="4" t="s">
        <v>3</v>
      </c>
      <c r="F81" s="4" t="s">
        <v>4</v>
      </c>
      <c r="G81" s="4" t="s">
        <v>5</v>
      </c>
      <c r="H81" s="4" t="s">
        <v>6</v>
      </c>
    </row>
    <row r="82" spans="1:8" ht="20.100000000000001" customHeight="1">
      <c r="A82" s="70" t="s">
        <v>27</v>
      </c>
      <c r="B82" s="15" t="s">
        <v>185</v>
      </c>
      <c r="C82" s="47">
        <f>Legend!$C$12-44</f>
        <v>46103</v>
      </c>
      <c r="D82" s="47" t="s">
        <v>107</v>
      </c>
      <c r="E82" s="5" t="s">
        <v>0</v>
      </c>
      <c r="F82" s="5" t="s">
        <v>0</v>
      </c>
      <c r="G82" s="6" t="s">
        <v>0</v>
      </c>
      <c r="H82" s="6" t="s">
        <v>0</v>
      </c>
    </row>
    <row r="83" spans="1:8" ht="20.100000000000001" customHeight="1">
      <c r="A83" s="70" t="s">
        <v>28</v>
      </c>
      <c r="B83" s="15" t="s">
        <v>188</v>
      </c>
      <c r="C83" s="47">
        <f>Legend!$C$12-42</f>
        <v>46105</v>
      </c>
      <c r="D83" s="47" t="s">
        <v>107</v>
      </c>
      <c r="E83" s="5" t="s">
        <v>29</v>
      </c>
      <c r="F83" s="5" t="s">
        <v>0</v>
      </c>
      <c r="G83" s="6" t="s">
        <v>0</v>
      </c>
      <c r="H83" s="6" t="s">
        <v>0</v>
      </c>
    </row>
    <row r="84" spans="1:8" ht="20.100000000000001" customHeight="1">
      <c r="A84" s="70" t="s">
        <v>30</v>
      </c>
      <c r="B84" s="15" t="s">
        <v>189</v>
      </c>
      <c r="C84" s="47">
        <f>Legend!$C$12-40</f>
        <v>46107</v>
      </c>
      <c r="D84" s="47" t="s">
        <v>107</v>
      </c>
      <c r="E84" s="5" t="s">
        <v>0</v>
      </c>
      <c r="F84" s="5" t="s">
        <v>0</v>
      </c>
      <c r="G84" s="6" t="s">
        <v>0</v>
      </c>
      <c r="H84" s="6" t="s">
        <v>0</v>
      </c>
    </row>
    <row r="85" spans="1:8" ht="20.100000000000001" customHeight="1">
      <c r="A85" s="70" t="s">
        <v>31</v>
      </c>
      <c r="B85" s="15" t="s">
        <v>186</v>
      </c>
      <c r="C85" s="47">
        <f>Legend!$C$12-39</f>
        <v>46108</v>
      </c>
      <c r="D85" s="47" t="s">
        <v>107</v>
      </c>
      <c r="E85" s="5" t="s">
        <v>32</v>
      </c>
      <c r="F85" s="5" t="s">
        <v>0</v>
      </c>
      <c r="G85" s="6" t="s">
        <v>0</v>
      </c>
      <c r="H85" s="6" t="s">
        <v>0</v>
      </c>
    </row>
    <row r="86" spans="1:8" ht="20.100000000000001" customHeight="1">
      <c r="A86" s="70" t="s">
        <v>23</v>
      </c>
      <c r="B86" s="15" t="s">
        <v>177</v>
      </c>
      <c r="C86" s="47">
        <f>Legend!$C$12-22</f>
        <v>46125</v>
      </c>
      <c r="D86" s="47" t="s">
        <v>107</v>
      </c>
      <c r="E86" s="5" t="s">
        <v>0</v>
      </c>
      <c r="F86" s="5" t="s">
        <v>0</v>
      </c>
      <c r="G86" s="6" t="s">
        <v>0</v>
      </c>
      <c r="H86" s="6" t="s">
        <v>0</v>
      </c>
    </row>
    <row r="87" spans="1:8" ht="20.100000000000001" customHeight="1">
      <c r="A87" s="70" t="s">
        <v>63</v>
      </c>
      <c r="B87" s="15" t="s">
        <v>177</v>
      </c>
      <c r="C87" s="47">
        <f>Legend!$C$12-22</f>
        <v>46125</v>
      </c>
      <c r="D87" s="47" t="s">
        <v>107</v>
      </c>
      <c r="E87" s="5" t="s">
        <v>0</v>
      </c>
      <c r="F87" s="5" t="s">
        <v>0</v>
      </c>
      <c r="G87" s="6" t="s">
        <v>0</v>
      </c>
      <c r="H87" s="6" t="s">
        <v>0</v>
      </c>
    </row>
    <row r="88" spans="1:8" ht="20.100000000000001" customHeight="1">
      <c r="A88" s="70" t="s">
        <v>64</v>
      </c>
      <c r="B88" s="15" t="s">
        <v>92</v>
      </c>
      <c r="C88" s="47">
        <f>Legend!$C$12-15</f>
        <v>46132</v>
      </c>
      <c r="D88" s="47" t="s">
        <v>107</v>
      </c>
      <c r="E88" s="5" t="s">
        <v>32</v>
      </c>
      <c r="F88" s="5" t="s">
        <v>0</v>
      </c>
      <c r="G88" s="6" t="s">
        <v>0</v>
      </c>
      <c r="H88" s="6" t="s">
        <v>0</v>
      </c>
    </row>
    <row r="89" spans="1:8" ht="20.100000000000001" customHeight="1">
      <c r="A89" s="70" t="s">
        <v>65</v>
      </c>
      <c r="B89" s="20" t="s">
        <v>93</v>
      </c>
      <c r="C89" s="52">
        <f>Legend!$C$12-1</f>
        <v>46146</v>
      </c>
      <c r="D89" s="52" t="s">
        <v>106</v>
      </c>
      <c r="E89" s="5" t="s">
        <v>0</v>
      </c>
      <c r="F89" s="5" t="s">
        <v>0</v>
      </c>
      <c r="G89" s="6" t="s">
        <v>0</v>
      </c>
      <c r="H89" s="6" t="s">
        <v>0</v>
      </c>
    </row>
    <row r="90" spans="1:8" ht="39.950000000000003" customHeight="1"/>
    <row r="91" spans="1:8" ht="20.100000000000001" customHeight="1">
      <c r="A91" s="81" t="s">
        <v>33</v>
      </c>
    </row>
    <row r="92" spans="1:8" ht="20.100000000000001" customHeight="1">
      <c r="A92" s="74" t="s">
        <v>2</v>
      </c>
      <c r="B92" s="9" t="s">
        <v>59</v>
      </c>
      <c r="C92" s="41" t="s">
        <v>59</v>
      </c>
      <c r="D92" s="41" t="s">
        <v>104</v>
      </c>
      <c r="E92" s="4" t="s">
        <v>3</v>
      </c>
      <c r="F92" s="4" t="s">
        <v>4</v>
      </c>
      <c r="G92" s="4" t="s">
        <v>5</v>
      </c>
      <c r="H92" s="4" t="s">
        <v>6</v>
      </c>
    </row>
    <row r="93" spans="1:8" ht="28.5">
      <c r="A93" s="70" t="s">
        <v>34</v>
      </c>
      <c r="B93" s="15" t="s">
        <v>185</v>
      </c>
      <c r="C93" s="47">
        <f>Legend!$C$12-44</f>
        <v>46103</v>
      </c>
      <c r="D93" s="47" t="s">
        <v>107</v>
      </c>
      <c r="E93" s="5" t="s">
        <v>32</v>
      </c>
      <c r="F93" s="5" t="s">
        <v>0</v>
      </c>
      <c r="G93" s="6" t="s">
        <v>0</v>
      </c>
      <c r="H93" s="6" t="s">
        <v>0</v>
      </c>
    </row>
    <row r="94" spans="1:8" ht="20.100000000000001" customHeight="1">
      <c r="A94" s="70" t="s">
        <v>23</v>
      </c>
      <c r="B94" s="17" t="s">
        <v>177</v>
      </c>
      <c r="C94" s="49">
        <f>Legend!$C$12-22</f>
        <v>46125</v>
      </c>
      <c r="D94" s="49" t="s">
        <v>107</v>
      </c>
      <c r="E94" s="5" t="s">
        <v>0</v>
      </c>
      <c r="F94" s="5" t="s">
        <v>0</v>
      </c>
      <c r="G94" s="6" t="s">
        <v>0</v>
      </c>
      <c r="H94" s="6" t="s">
        <v>0</v>
      </c>
    </row>
    <row r="95" spans="1:8" ht="39.950000000000003" customHeight="1"/>
    <row r="96" spans="1:8" ht="20.100000000000001" customHeight="1">
      <c r="A96" s="82" t="s">
        <v>35</v>
      </c>
    </row>
    <row r="97" spans="1:8" ht="20.100000000000001" customHeight="1">
      <c r="A97" s="74" t="s">
        <v>2</v>
      </c>
      <c r="B97" s="9" t="s">
        <v>59</v>
      </c>
      <c r="C97" s="41" t="s">
        <v>59</v>
      </c>
      <c r="D97" s="41" t="s">
        <v>104</v>
      </c>
      <c r="E97" s="4" t="s">
        <v>3</v>
      </c>
      <c r="F97" s="4" t="s">
        <v>4</v>
      </c>
      <c r="G97" s="4" t="s">
        <v>5</v>
      </c>
      <c r="H97" s="4" t="s">
        <v>6</v>
      </c>
    </row>
    <row r="98" spans="1:8" ht="20.100000000000001" customHeight="1">
      <c r="A98" s="70" t="s">
        <v>155</v>
      </c>
      <c r="B98" s="22" t="s">
        <v>90</v>
      </c>
      <c r="C98" s="55">
        <f>Legend!$C$10+1</f>
        <v>46131</v>
      </c>
      <c r="D98" s="55" t="s">
        <v>107</v>
      </c>
      <c r="E98" s="5" t="s">
        <v>0</v>
      </c>
      <c r="F98" s="5" t="s">
        <v>0</v>
      </c>
      <c r="G98" s="6" t="s">
        <v>0</v>
      </c>
      <c r="H98" s="6" t="s">
        <v>0</v>
      </c>
    </row>
    <row r="99" spans="1:8" ht="20.100000000000001" customHeight="1">
      <c r="A99" s="70" t="s">
        <v>36</v>
      </c>
      <c r="B99" s="17" t="s">
        <v>177</v>
      </c>
      <c r="C99" s="49">
        <f>Legend!$C$12-22</f>
        <v>46125</v>
      </c>
      <c r="D99" s="49" t="s">
        <v>107</v>
      </c>
      <c r="E99" s="5" t="s">
        <v>0</v>
      </c>
      <c r="F99" s="5" t="s">
        <v>0</v>
      </c>
      <c r="G99" s="6" t="s">
        <v>0</v>
      </c>
      <c r="H99" s="6" t="s">
        <v>0</v>
      </c>
    </row>
    <row r="100" spans="1:8" ht="20.100000000000001" customHeight="1">
      <c r="A100" s="70" t="s">
        <v>156</v>
      </c>
      <c r="B100" s="17" t="s">
        <v>177</v>
      </c>
      <c r="C100" s="49">
        <f>Legend!$C$12-22</f>
        <v>46125</v>
      </c>
      <c r="D100" s="49" t="s">
        <v>107</v>
      </c>
      <c r="E100" s="5" t="s">
        <v>0</v>
      </c>
      <c r="F100" s="5" t="s">
        <v>0</v>
      </c>
      <c r="G100" s="6" t="s">
        <v>0</v>
      </c>
      <c r="H100" s="6" t="s">
        <v>0</v>
      </c>
    </row>
    <row r="101" spans="1:8" ht="20.100000000000001" customHeight="1">
      <c r="A101" s="70" t="s">
        <v>157</v>
      </c>
      <c r="B101" s="17" t="s">
        <v>177</v>
      </c>
      <c r="C101" s="49">
        <f>Legend!$C$12-22</f>
        <v>46125</v>
      </c>
      <c r="D101" s="49" t="s">
        <v>107</v>
      </c>
      <c r="E101" s="5" t="s">
        <v>0</v>
      </c>
      <c r="F101" s="5" t="s">
        <v>0</v>
      </c>
      <c r="G101" s="6" t="s">
        <v>0</v>
      </c>
      <c r="H101" s="6" t="s">
        <v>0</v>
      </c>
    </row>
    <row r="102" spans="1:8" ht="28.5">
      <c r="A102" s="70" t="s">
        <v>158</v>
      </c>
      <c r="B102" s="18" t="s">
        <v>179</v>
      </c>
      <c r="C102" s="50">
        <f>Legend!$C$12-10</f>
        <v>46137</v>
      </c>
      <c r="D102" s="50" t="s">
        <v>107</v>
      </c>
      <c r="E102" s="5" t="s">
        <v>0</v>
      </c>
      <c r="F102" s="5" t="s">
        <v>0</v>
      </c>
      <c r="G102" s="6" t="s">
        <v>0</v>
      </c>
      <c r="H102" s="6" t="s">
        <v>0</v>
      </c>
    </row>
    <row r="103" spans="1:8" ht="20.100000000000001" customHeight="1">
      <c r="A103" s="69" t="s">
        <v>159</v>
      </c>
      <c r="B103" s="17" t="s">
        <v>177</v>
      </c>
      <c r="C103" s="49">
        <f>Legend!$C$12-22</f>
        <v>46125</v>
      </c>
      <c r="D103" s="49" t="s">
        <v>107</v>
      </c>
      <c r="E103" s="5" t="s">
        <v>0</v>
      </c>
      <c r="F103" s="5" t="s">
        <v>0</v>
      </c>
      <c r="G103" s="6" t="s">
        <v>0</v>
      </c>
      <c r="H103" s="6" t="s">
        <v>0</v>
      </c>
    </row>
    <row r="104" spans="1:8" ht="39.950000000000003" customHeight="1"/>
    <row r="105" spans="1:8" s="30" customFormat="1" ht="20.100000000000001" customHeight="1">
      <c r="A105" s="83"/>
      <c r="B105" s="37"/>
      <c r="C105" s="56"/>
      <c r="D105" s="56"/>
      <c r="E105" s="38"/>
      <c r="G105" s="33"/>
      <c r="H105" s="33"/>
    </row>
    <row r="106" spans="1:8" s="30" customFormat="1" ht="20.100000000000001" customHeight="1">
      <c r="A106" s="84" t="s">
        <v>151</v>
      </c>
      <c r="B106" s="37"/>
      <c r="C106" s="56"/>
      <c r="D106" s="56"/>
      <c r="E106" s="38"/>
      <c r="G106" s="33"/>
      <c r="H106" s="33"/>
    </row>
    <row r="107" spans="1:8" s="30" customFormat="1" ht="20.100000000000001" customHeight="1">
      <c r="A107" s="74" t="s">
        <v>2</v>
      </c>
      <c r="B107" s="9" t="s">
        <v>59</v>
      </c>
      <c r="C107" s="41" t="s">
        <v>59</v>
      </c>
      <c r="D107" s="41" t="s">
        <v>104</v>
      </c>
      <c r="E107" s="4" t="s">
        <v>3</v>
      </c>
      <c r="F107" s="4" t="s">
        <v>4</v>
      </c>
      <c r="G107" s="4" t="s">
        <v>5</v>
      </c>
      <c r="H107" s="4" t="s">
        <v>6</v>
      </c>
    </row>
    <row r="108" spans="1:8" s="92" customFormat="1" ht="20.100000000000001" customHeight="1">
      <c r="A108" s="88" t="s">
        <v>129</v>
      </c>
      <c r="B108" s="89" t="s">
        <v>182</v>
      </c>
      <c r="C108" s="94">
        <f>Legend!$C$13+10</f>
        <v>46167</v>
      </c>
      <c r="D108" s="90" t="s">
        <v>106</v>
      </c>
      <c r="E108" s="91" t="s">
        <v>70</v>
      </c>
      <c r="F108" s="91" t="s">
        <v>0</v>
      </c>
      <c r="G108" s="91" t="s">
        <v>0</v>
      </c>
      <c r="H108" s="91" t="s">
        <v>0</v>
      </c>
    </row>
    <row r="109" spans="1:8" s="92" customFormat="1" ht="20.100000000000001" customHeight="1">
      <c r="A109" s="88" t="s">
        <v>13</v>
      </c>
      <c r="B109" s="89" t="s">
        <v>181</v>
      </c>
      <c r="C109" s="94">
        <f>Legend!$C$13+5</f>
        <v>46162</v>
      </c>
      <c r="D109" s="90" t="s">
        <v>106</v>
      </c>
      <c r="E109" s="91" t="s">
        <v>71</v>
      </c>
      <c r="F109" s="91" t="s">
        <v>0</v>
      </c>
      <c r="G109" s="91" t="s">
        <v>0</v>
      </c>
      <c r="H109" s="91" t="s">
        <v>0</v>
      </c>
    </row>
    <row r="110" spans="1:8" s="30" customFormat="1" ht="20.100000000000001" customHeight="1">
      <c r="A110" s="31" t="s">
        <v>152</v>
      </c>
      <c r="B110" s="89" t="s">
        <v>182</v>
      </c>
      <c r="C110" s="94">
        <f>Legend!$C$13+10</f>
        <v>46167</v>
      </c>
      <c r="D110" s="90" t="s">
        <v>106</v>
      </c>
      <c r="E110" s="27"/>
      <c r="F110" s="35"/>
      <c r="G110" s="32"/>
      <c r="H110" s="32"/>
    </row>
    <row r="111" spans="1:8" s="30" customFormat="1" ht="20.100000000000001" customHeight="1">
      <c r="A111" s="31" t="s">
        <v>153</v>
      </c>
      <c r="B111" s="89" t="s">
        <v>182</v>
      </c>
      <c r="C111" s="94">
        <f>Legend!$C$13+10</f>
        <v>46167</v>
      </c>
      <c r="D111" s="90" t="s">
        <v>106</v>
      </c>
      <c r="E111" s="27"/>
      <c r="F111" s="35"/>
      <c r="G111" s="32"/>
      <c r="H111" s="32"/>
    </row>
    <row r="112" spans="1:8" s="30" customFormat="1" ht="20.100000000000001" customHeight="1">
      <c r="A112" s="31" t="s">
        <v>154</v>
      </c>
      <c r="B112" s="89" t="s">
        <v>182</v>
      </c>
      <c r="C112" s="94">
        <f>Legend!$C$13+10</f>
        <v>46167</v>
      </c>
      <c r="D112" s="90" t="s">
        <v>106</v>
      </c>
      <c r="E112" s="27"/>
      <c r="F112" s="35"/>
      <c r="G112" s="32"/>
      <c r="H112" s="32"/>
    </row>
    <row r="113" spans="1:8" s="30" customFormat="1" ht="15">
      <c r="A113" s="31" t="s">
        <v>96</v>
      </c>
      <c r="B113" s="93" t="s">
        <v>193</v>
      </c>
      <c r="C113" s="94">
        <f>Legend!$C$13+15</f>
        <v>46172</v>
      </c>
      <c r="D113" s="94" t="s">
        <v>106</v>
      </c>
      <c r="E113" s="39" t="s">
        <v>100</v>
      </c>
      <c r="F113" s="27"/>
      <c r="G113" s="29"/>
      <c r="H113" s="29"/>
    </row>
    <row r="114" spans="1:8" s="30" customFormat="1" ht="15">
      <c r="A114" s="31" t="s">
        <v>97</v>
      </c>
      <c r="B114" s="93" t="s">
        <v>193</v>
      </c>
      <c r="C114" s="94">
        <f>Legend!$C$13+15</f>
        <v>46172</v>
      </c>
      <c r="D114" s="94" t="s">
        <v>106</v>
      </c>
      <c r="E114" s="39" t="s">
        <v>101</v>
      </c>
      <c r="F114" s="27"/>
      <c r="G114" s="29"/>
      <c r="H114" s="29"/>
    </row>
    <row r="115" spans="1:8" s="30" customFormat="1" ht="15">
      <c r="A115" s="31" t="s">
        <v>98</v>
      </c>
      <c r="B115" s="93" t="s">
        <v>193</v>
      </c>
      <c r="C115" s="94">
        <f>Legend!$C$13+15</f>
        <v>46172</v>
      </c>
      <c r="D115" s="94" t="s">
        <v>106</v>
      </c>
      <c r="E115" s="39" t="s">
        <v>160</v>
      </c>
      <c r="F115" s="27"/>
      <c r="G115" s="29"/>
      <c r="H115" s="29"/>
    </row>
    <row r="116" spans="1:8" ht="15">
      <c r="A116" s="31" t="s">
        <v>191</v>
      </c>
      <c r="B116" s="89" t="s">
        <v>192</v>
      </c>
      <c r="C116" s="94">
        <f>Legend!$C$13+22</f>
        <v>46179</v>
      </c>
      <c r="D116" s="94" t="s">
        <v>106</v>
      </c>
      <c r="E116" s="39" t="s">
        <v>99</v>
      </c>
      <c r="F116" s="27" t="s">
        <v>0</v>
      </c>
      <c r="G116" s="29" t="s">
        <v>0</v>
      </c>
      <c r="H116" s="29" t="s">
        <v>0</v>
      </c>
    </row>
    <row r="117" spans="1:8" ht="15">
      <c r="A117" s="83"/>
      <c r="B117" s="37"/>
      <c r="C117" s="56"/>
      <c r="D117" s="56"/>
      <c r="E117" s="38"/>
      <c r="F117" s="30"/>
      <c r="G117" s="33"/>
      <c r="H117" s="33"/>
    </row>
    <row r="119" spans="1:8" ht="15">
      <c r="A119" s="95" t="s">
        <v>75</v>
      </c>
      <c r="B119" s="95"/>
      <c r="C119" s="95"/>
      <c r="D119" s="95"/>
      <c r="E119" s="95"/>
      <c r="F119" s="95"/>
    </row>
    <row r="120" spans="1:8" s="26" customFormat="1" ht="15">
      <c r="A120" s="39" t="s">
        <v>76</v>
      </c>
      <c r="B120" s="28" t="s">
        <v>102</v>
      </c>
      <c r="C120" s="57" t="s">
        <v>77</v>
      </c>
      <c r="D120" s="57"/>
      <c r="E120" s="27" t="s">
        <v>79</v>
      </c>
      <c r="F120" s="27" t="s">
        <v>78</v>
      </c>
    </row>
    <row r="121" spans="1:8" ht="42.75">
      <c r="A121" s="69" t="s">
        <v>80</v>
      </c>
      <c r="B121" s="14">
        <v>45679</v>
      </c>
      <c r="C121" s="46">
        <v>45679</v>
      </c>
      <c r="D121" s="46"/>
      <c r="E121" s="25" t="s">
        <v>81</v>
      </c>
      <c r="F121" s="7">
        <v>1</v>
      </c>
    </row>
    <row r="122" spans="1:8" ht="42.75">
      <c r="A122" s="69" t="s">
        <v>80</v>
      </c>
      <c r="B122" s="36" t="s">
        <v>95</v>
      </c>
      <c r="C122" s="46">
        <v>45845</v>
      </c>
      <c r="D122" s="46"/>
      <c r="E122" s="25" t="s">
        <v>103</v>
      </c>
      <c r="F122" s="7">
        <v>2</v>
      </c>
    </row>
    <row r="123" spans="1:8" ht="28.5">
      <c r="A123" s="69" t="s">
        <v>161</v>
      </c>
      <c r="B123" s="14"/>
      <c r="C123" s="46">
        <v>46105</v>
      </c>
      <c r="D123" s="46"/>
      <c r="E123" s="25" t="s">
        <v>162</v>
      </c>
      <c r="F123" s="7">
        <v>3</v>
      </c>
    </row>
    <row r="124" spans="1:8">
      <c r="A124" s="69" t="s">
        <v>161</v>
      </c>
      <c r="B124" s="14"/>
      <c r="C124" s="46">
        <v>46134</v>
      </c>
      <c r="D124" s="46"/>
      <c r="E124" s="5" t="s">
        <v>194</v>
      </c>
      <c r="F124" s="7">
        <v>4</v>
      </c>
    </row>
    <row r="125" spans="1:8">
      <c r="A125" s="69"/>
      <c r="B125" s="14"/>
      <c r="C125" s="46"/>
      <c r="D125" s="46"/>
      <c r="E125" s="5"/>
      <c r="F125" s="7"/>
    </row>
    <row r="126" spans="1:8">
      <c r="A126" s="69"/>
      <c r="B126" s="14"/>
      <c r="C126" s="46"/>
      <c r="D126" s="46"/>
      <c r="E126" s="5"/>
      <c r="F126" s="7"/>
    </row>
  </sheetData>
  <mergeCells count="1">
    <mergeCell ref="A119:F119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Faculty Led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Varalakshmi Naudoori</cp:lastModifiedBy>
  <cp:revision>0</cp:revision>
  <dcterms:created xsi:type="dcterms:W3CDTF">2023-10-04T07:34:14Z</dcterms:created>
  <dcterms:modified xsi:type="dcterms:W3CDTF">2026-04-22T11:41:31Z</dcterms:modified>
</cp:coreProperties>
</file>